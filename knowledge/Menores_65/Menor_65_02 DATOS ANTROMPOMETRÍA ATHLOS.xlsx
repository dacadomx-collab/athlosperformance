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RO MASCU" sheetId="1" r:id="rId4"/>
    <sheet state="visible" name="ANTRO FEME" sheetId="2" r:id="rId5"/>
  </sheets>
  <definedNames/>
  <calcPr/>
  <extLst>
    <ext uri="GoogleSheetsCustomDataVersion2">
      <go:sheetsCustomData xmlns:go="http://customooxmlschemas.google.com/" r:id="rId6" roundtripDataChecksum="wlZweJFcu1Oj4j8TLEHvlisHNXWPPtQp3pMXwp/ihcY="/>
    </ext>
  </extLst>
</workbook>
</file>

<file path=xl/sharedStrings.xml><?xml version="1.0" encoding="utf-8"?>
<sst xmlns="http://schemas.openxmlformats.org/spreadsheetml/2006/main" count="329" uniqueCount="142">
  <si>
    <t>ASESOR: Arturo Naranjo</t>
  </si>
  <si>
    <t>ANTOPOMETRIA</t>
  </si>
  <si>
    <t>COMPOSICIÓN CORPORAL.</t>
  </si>
  <si>
    <t>VARIABLES PARA SOMATOTIPO</t>
  </si>
  <si>
    <t>PERIMETROS  LADO DERECHO</t>
  </si>
  <si>
    <t>PERIMETROS  LADO IZQUIERDO</t>
  </si>
  <si>
    <t>FECHA ANTROPOMETRÍA</t>
  </si>
  <si>
    <t>MEDIDA 1</t>
  </si>
  <si>
    <t>MEDIDA 2</t>
  </si>
  <si>
    <t>DATO</t>
  </si>
  <si>
    <t>2 A 4%</t>
  </si>
  <si>
    <t>Grasa Esencial</t>
  </si>
  <si>
    <t xml:space="preserve">PERIMETRO DE BRAZO RELAJADO </t>
  </si>
  <si>
    <t>ENDOMORFÍA</t>
  </si>
  <si>
    <t>X</t>
  </si>
  <si>
    <t>NOMBRE DEL ENTRENO</t>
  </si>
  <si>
    <t>PERIMETRO DE BRAZO CONTRAÍDO</t>
  </si>
  <si>
    <t xml:space="preserve">PERIIMETRO DE BRAZO FLX EN CONTRACCION </t>
  </si>
  <si>
    <t>5 A 13%</t>
  </si>
  <si>
    <t>Atletas</t>
  </si>
  <si>
    <t>X AL CUADRADO</t>
  </si>
  <si>
    <t>GENERO</t>
  </si>
  <si>
    <t>MASCULINO</t>
  </si>
  <si>
    <t>PERIMETRO DE MUNECA</t>
  </si>
  <si>
    <t>PERIMETTRO DE MUNECA</t>
  </si>
  <si>
    <t>X AL CUBO</t>
  </si>
  <si>
    <t xml:space="preserve">FECHA DE NACIMIENTO </t>
  </si>
  <si>
    <t>PERIMETRO  DE CINTURA MÍNIMA</t>
  </si>
  <si>
    <t>14 A 16%</t>
  </si>
  <si>
    <t>Fitness</t>
  </si>
  <si>
    <t xml:space="preserve">EDAD </t>
  </si>
  <si>
    <t>CADERA MÁXIMA</t>
  </si>
  <si>
    <t>PERIMETRO DE MUSLO</t>
  </si>
  <si>
    <t>MESOMORFÍA</t>
  </si>
  <si>
    <t>DH</t>
  </si>
  <si>
    <t>ESTATURA</t>
  </si>
  <si>
    <t>PERIMETRO DE PIERNA MEDIO</t>
  </si>
  <si>
    <t>17 A 23%</t>
  </si>
  <si>
    <t>Aceptable</t>
  </si>
  <si>
    <t>DF</t>
  </si>
  <si>
    <t>PESO</t>
  </si>
  <si>
    <t>PERIMETRO DE PIERNA CONTRAÍDA</t>
  </si>
  <si>
    <t>PERIMETRO DE PIERNA RELAJADA</t>
  </si>
  <si>
    <t>PBC</t>
  </si>
  <si>
    <t xml:space="preserve">PLIEGUES CUTANEOS </t>
  </si>
  <si>
    <t>24 A 26%</t>
  </si>
  <si>
    <t>Sobregraso Moderado</t>
  </si>
  <si>
    <t>PGC</t>
  </si>
  <si>
    <t>ACTIVIDAD/EJERCICIO</t>
  </si>
  <si>
    <t>CM</t>
  </si>
  <si>
    <t>PLIEGUE TRICIPITAL</t>
  </si>
  <si>
    <t>PLIEGUE BICIPITAL</t>
  </si>
  <si>
    <t>27 A 29%</t>
  </si>
  <si>
    <t>Sobregraso En Riesgo</t>
  </si>
  <si>
    <t>PLIEGUE SUBESCAPULAR</t>
  </si>
  <si>
    <t>FRECUENCIA DEL EJERCICIO</t>
  </si>
  <si>
    <t>PLIEGUE ABDOMINAL</t>
  </si>
  <si>
    <t>30 A 32%</t>
  </si>
  <si>
    <t>Obeso</t>
  </si>
  <si>
    <t>PLIEGUE ILEOCRESTAL</t>
  </si>
  <si>
    <t>PLIEGUE SUPRAESPINAL</t>
  </si>
  <si>
    <t>33  A 35%</t>
  </si>
  <si>
    <t>Obeso en Riesgo</t>
  </si>
  <si>
    <t>DURACIÓN POR SESIÓN</t>
  </si>
  <si>
    <t>PLIEGUE DE MUSLO</t>
  </si>
  <si>
    <t xml:space="preserve">PLIIEGUE DE PIERNA </t>
  </si>
  <si>
    <t>36% O MÁS</t>
  </si>
  <si>
    <t>Obeso Mórbido</t>
  </si>
  <si>
    <t xml:space="preserve">DIAMETROS OSEOS </t>
  </si>
  <si>
    <t>INTENSIDAD DEL EJERCICIO</t>
  </si>
  <si>
    <t>HUMERAL</t>
  </si>
  <si>
    <t>MM</t>
  </si>
  <si>
    <t>METROS</t>
  </si>
  <si>
    <t>FEMORAL</t>
  </si>
  <si>
    <t>EDADES PARA DENSIDAD CORPORAL</t>
  </si>
  <si>
    <t>16-19 AÑOS</t>
  </si>
  <si>
    <t>ESTILOIDEO</t>
  </si>
  <si>
    <t>20-29 AÑOS</t>
  </si>
  <si>
    <t>BIACCROMIAL</t>
  </si>
  <si>
    <t>30-39 AÑOS</t>
  </si>
  <si>
    <t>ECTOMORFÍA</t>
  </si>
  <si>
    <t>POTENCIA</t>
  </si>
  <si>
    <t>IMC</t>
  </si>
  <si>
    <t>BI-ILIOCRESTAL</t>
  </si>
  <si>
    <t>40-49 AÑOS</t>
  </si>
  <si>
    <t>MAS DE 49 AÑOS</t>
  </si>
  <si>
    <t>ÍNDICE PONDERAL</t>
  </si>
  <si>
    <t>CLASIFICACIÓN</t>
  </si>
  <si>
    <t>NORMAL</t>
  </si>
  <si>
    <t>EDAD</t>
  </si>
  <si>
    <t>RELACIÓN BI-ACROMIOILIOCRESTAL</t>
  </si>
  <si>
    <t>Más de 40.75</t>
  </si>
  <si>
    <t>TABLA DE I.M.C</t>
  </si>
  <si>
    <t>PORCENTAJE</t>
  </si>
  <si>
    <t>CATEGORÍA</t>
  </si>
  <si>
    <t>DENSIDAD CORPORAL</t>
  </si>
  <si>
    <t>Entre 38.26 y 40.75</t>
  </si>
  <si>
    <t>Menos de 38.25</t>
  </si>
  <si>
    <t>VALORES Y DATOS.</t>
  </si>
  <si>
    <t>SOMATOTIPO</t>
  </si>
  <si>
    <t>BAJO PESO</t>
  </si>
  <si>
    <t>ENDO</t>
  </si>
  <si>
    <t>18.5-24.9</t>
  </si>
  <si>
    <t>COMPLEXIÓN</t>
  </si>
  <si>
    <t>MEDIANA</t>
  </si>
  <si>
    <t>MASA GRASA(SIRI)</t>
  </si>
  <si>
    <t>24.9-29.9</t>
  </si>
  <si>
    <t>SOBREPESO</t>
  </si>
  <si>
    <t>KILOGRAMOS</t>
  </si>
  <si>
    <t>MESO</t>
  </si>
  <si>
    <t>PELIGRO METABÓLICO POR CINTURA</t>
  </si>
  <si>
    <t>SIN PELIGRO</t>
  </si>
  <si>
    <t>30-34.9</t>
  </si>
  <si>
    <t>OBESIDAD</t>
  </si>
  <si>
    <t>MASA ÓSEA(ROCHA)</t>
  </si>
  <si>
    <t>TOPE DE MASA MUSCULAR</t>
  </si>
  <si>
    <t xml:space="preserve">ECTO </t>
  </si>
  <si>
    <t>35-39.9</t>
  </si>
  <si>
    <t>OBESIDAD SEVERA</t>
  </si>
  <si>
    <t>ÍNDICE CINTURA-CADERA</t>
  </si>
  <si>
    <t>SIN RIESGO</t>
  </si>
  <si>
    <t>MÁS DE 40</t>
  </si>
  <si>
    <t>OBESIDAD MÓRBIDA</t>
  </si>
  <si>
    <t>MASA RESIDUAL (WURCH)</t>
  </si>
  <si>
    <t>EJES PARA SOMATOCARTA</t>
  </si>
  <si>
    <t>EJE "X"</t>
  </si>
  <si>
    <t>SUMATORIA DE PLIEGUES(DURMIN &amp; WOMENSLY)</t>
  </si>
  <si>
    <t>MASA MUSCULAR (MATIEGKA)</t>
  </si>
  <si>
    <t>EJE "Y"</t>
  </si>
  <si>
    <t>LOGARÍTMO DE 4 PLIEGUES</t>
  </si>
  <si>
    <t>COMPROBACIÓN</t>
  </si>
  <si>
    <t>ENTRENADOR:</t>
  </si>
  <si>
    <t xml:space="preserve">FECHA CONSULTA </t>
  </si>
  <si>
    <t>10 a 12%</t>
  </si>
  <si>
    <t>13 a 16%</t>
  </si>
  <si>
    <t>17 a 19%</t>
  </si>
  <si>
    <t>20 a 26%</t>
  </si>
  <si>
    <t>27 a 29%</t>
  </si>
  <si>
    <t>33 a 35%</t>
  </si>
  <si>
    <t>36 a 38%</t>
  </si>
  <si>
    <t>38% o MAS</t>
  </si>
  <si>
    <t>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</si>
</sst>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"/>
    <numFmt numFmtId="165" formatCode="0.0"/>
    <numFmt numFmtId="166" formatCode="#,##0.000"/>
    <numFmt numFmtId="167" formatCode="0.0000"/>
    <numFmt numFmtId="168" formatCode="0.000"/>
    <numFmt numFmtId="169" formatCode="_-* #,##0.00_-;\-* #,##0.00_-;_-* &quot;-&quot;??_-;_-@"/>
  </numFmts>
  <fonts count="44">
    <font>
      <sz val="10.0"/>
      <color rgb="FF000000"/>
      <name val="Arial"/>
      <scheme val="minor"/>
    </font>
    <font>
      <sz val="11.0"/>
      <color theme="1"/>
      <name val="Calibri"/>
    </font>
    <font/>
    <font>
      <sz val="20.0"/>
      <color rgb="FFFFC000"/>
      <name val="Arial Black"/>
    </font>
    <font>
      <sz val="14.0"/>
      <color rgb="FFFFFFFF"/>
      <name val="Calibri"/>
    </font>
    <font>
      <sz val="18.0"/>
      <color rgb="FFFFFFFF"/>
      <name val="Baumans"/>
    </font>
    <font>
      <sz val="11.0"/>
      <color rgb="FF434343"/>
      <name val="Calibri"/>
    </font>
    <font>
      <sz val="12.0"/>
      <color theme="1"/>
      <name val="Arial Rounded"/>
    </font>
    <font>
      <sz val="11.0"/>
      <color theme="1"/>
      <name val="Arial Black"/>
    </font>
    <font>
      <b/>
      <sz val="16.0"/>
      <color theme="1"/>
      <name val="Arial Black"/>
    </font>
    <font>
      <sz val="11.0"/>
      <color theme="1"/>
      <name val="Arial"/>
    </font>
    <font>
      <sz val="11.0"/>
      <color rgb="FFFFFF00"/>
      <name val="Calibri"/>
    </font>
    <font>
      <sz val="11.0"/>
      <color rgb="FFFFFFFF"/>
      <name val="Calibri"/>
    </font>
    <font>
      <sz val="18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sz val="18.0"/>
      <color theme="1"/>
      <name val="Arial Black"/>
    </font>
    <font>
      <sz val="20.0"/>
      <color theme="1"/>
      <name val="Calibri"/>
    </font>
    <font>
      <b/>
      <sz val="16.0"/>
      <color theme="1"/>
      <name val="Calibri"/>
    </font>
    <font>
      <sz val="22.0"/>
      <color theme="1"/>
      <name val="Calibri"/>
    </font>
    <font>
      <sz val="20.0"/>
      <color rgb="FFFFFF00"/>
      <name val="Calibri"/>
    </font>
    <font>
      <sz val="22.0"/>
      <color theme="1"/>
      <name val="Arial Rounded"/>
    </font>
    <font>
      <sz val="18.0"/>
      <color theme="1"/>
      <name val="Overlock"/>
    </font>
    <font>
      <sz val="20.0"/>
      <color theme="1"/>
      <name val="Arial Black"/>
    </font>
    <font>
      <sz val="18.0"/>
      <color rgb="FFED7D31"/>
      <name val="Corben"/>
    </font>
    <font>
      <sz val="16.0"/>
      <color rgb="FFFFFF00"/>
      <name val="Arial Rounded"/>
    </font>
    <font>
      <sz val="16.0"/>
      <color theme="1"/>
      <name val="Calibri"/>
    </font>
    <font>
      <sz val="20.0"/>
      <color rgb="FFFFFF00"/>
      <name val="Baumans"/>
    </font>
    <font>
      <sz val="14.0"/>
      <color theme="1"/>
      <name val="Arial Rounded"/>
    </font>
    <font>
      <b/>
      <sz val="11.0"/>
      <color theme="1"/>
      <name val="Arial Black"/>
    </font>
    <font>
      <sz val="18.0"/>
      <color rgb="FF00B050"/>
      <name val="Corben"/>
    </font>
    <font>
      <sz val="16.0"/>
      <color theme="1"/>
      <name val="Arial Rounded"/>
    </font>
    <font>
      <sz val="16.0"/>
      <color rgb="FFFF0000"/>
      <name val="Calibri"/>
    </font>
    <font>
      <sz val="14.0"/>
      <color rgb="FFFFFF00"/>
      <name val="Arial Rounded"/>
    </font>
    <font>
      <sz val="18.0"/>
      <color rgb="FF4472C4"/>
      <name val="Corben"/>
    </font>
    <font>
      <sz val="16.0"/>
      <color theme="1"/>
      <name val="Arial Black"/>
    </font>
    <font>
      <sz val="11.0"/>
      <color rgb="FFFF0000"/>
      <name val="Calibri"/>
    </font>
    <font>
      <sz val="12.0"/>
      <color theme="1"/>
      <name val="Arial Black"/>
    </font>
    <font>
      <sz val="12.0"/>
      <color theme="1"/>
      <name val="Calibri"/>
    </font>
    <font>
      <sz val="14.0"/>
      <color theme="1"/>
      <name val="Arial Black"/>
    </font>
    <font>
      <b/>
      <sz val="9.0"/>
      <color theme="1"/>
      <name val="Baumans"/>
    </font>
    <font>
      <sz val="16.0"/>
      <color rgb="FFFFFF00"/>
      <name val="Arial Black"/>
    </font>
    <font>
      <sz val="7.0"/>
      <color theme="1"/>
      <name val="Calibri"/>
    </font>
    <font>
      <sz val="8.0"/>
      <color theme="1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4472C4"/>
        <bgColor rgb="FF4472C4"/>
      </patternFill>
    </fill>
    <fill>
      <patternFill patternType="solid">
        <fgColor rgb="FF595959"/>
        <bgColor rgb="FF595959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AEABAB"/>
        <bgColor rgb="FFAEABAB"/>
      </patternFill>
    </fill>
    <fill>
      <patternFill patternType="solid">
        <fgColor rgb="FFFFE598"/>
        <bgColor rgb="FFFFE598"/>
      </patternFill>
    </fill>
    <fill>
      <patternFill patternType="solid">
        <fgColor rgb="FF3F3F3F"/>
        <bgColor rgb="FF3F3F3F"/>
      </patternFill>
    </fill>
    <fill>
      <patternFill patternType="solid">
        <fgColor rgb="FFFF0000"/>
        <bgColor rgb="FFFF0000"/>
      </patternFill>
    </fill>
    <fill>
      <patternFill patternType="solid">
        <fgColor rgb="FF2F5496"/>
        <bgColor rgb="FF2F5496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BE4D5"/>
        <bgColor rgb="FFFBE4D5"/>
      </patternFill>
    </fill>
    <fill>
      <patternFill patternType="solid">
        <fgColor rgb="FFA5A5A5"/>
        <bgColor rgb="FFA5A5A5"/>
      </patternFill>
    </fill>
    <fill>
      <patternFill patternType="solid">
        <fgColor rgb="FFFFD965"/>
        <bgColor rgb="FFFFD965"/>
      </patternFill>
    </fill>
    <fill>
      <patternFill patternType="solid">
        <fgColor rgb="FFED7D31"/>
        <bgColor rgb="FFED7D31"/>
      </patternFill>
    </fill>
    <fill>
      <patternFill patternType="solid">
        <fgColor rgb="FFFFCC00"/>
        <bgColor rgb="FFFFCC00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  <fill>
      <patternFill patternType="solid">
        <fgColor rgb="FFF9C8AD"/>
        <bgColor rgb="FFF9C8AD"/>
      </patternFill>
    </fill>
    <fill>
      <patternFill patternType="solid">
        <fgColor rgb="FFFD5D68"/>
        <bgColor rgb="FFFD5D68"/>
      </patternFill>
    </fill>
    <fill>
      <patternFill patternType="solid">
        <fgColor rgb="FFA8D08D"/>
        <bgColor rgb="FFA8D08D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505050"/>
      </left>
      <bottom style="thin">
        <color rgb="FF505050"/>
      </bottom>
    </border>
    <border>
      <bottom style="thin">
        <color rgb="FF505050"/>
      </bottom>
    </border>
    <border>
      <right style="thin">
        <color rgb="FF505050"/>
      </right>
      <bottom style="thin">
        <color rgb="FF505050"/>
      </bottom>
    </border>
    <border>
      <left/>
      <right/>
      <top/>
      <bottom/>
    </border>
    <border>
      <left style="thin">
        <color rgb="FF505050"/>
      </left>
      <top style="thin">
        <color rgb="FF50505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505050"/>
      </left>
      <right/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/>
      <top style="thin">
        <color rgb="FF505050"/>
      </top>
      <bottom/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top/>
      <bottom style="thin">
        <color rgb="FF505050"/>
      </bottom>
    </border>
    <border>
      <left style="thin">
        <color rgb="FF505050"/>
      </left>
      <right style="thin">
        <color rgb="FF50505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  <top style="thin">
        <color rgb="FF000000"/>
      </top>
    </border>
    <border>
      <left/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center"/>
    </xf>
    <xf borderId="4" fillId="4" fontId="5" numFmtId="0" xfId="0" applyAlignment="1" applyBorder="1" applyFont="1">
      <alignment horizontal="center"/>
    </xf>
    <xf borderId="1" fillId="5" fontId="1" numFmtId="0" xfId="0" applyAlignment="1" applyBorder="1" applyFill="1" applyFont="1">
      <alignment vertical="bottom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6" fontId="6" numFmtId="0" xfId="0" applyAlignment="1" applyBorder="1" applyFill="1" applyFont="1">
      <alignment vertical="bottom"/>
    </xf>
    <xf borderId="7" fillId="6" fontId="6" numFmtId="0" xfId="0" applyAlignment="1" applyBorder="1" applyFont="1">
      <alignment vertical="bottom"/>
    </xf>
    <xf borderId="12" fillId="0" fontId="1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7" fontId="1" numFmtId="0" xfId="0" applyAlignment="1" applyBorder="1" applyFill="1" applyFont="1">
      <alignment vertical="bottom"/>
    </xf>
    <xf borderId="16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readingOrder="0" vertical="bottom"/>
    </xf>
    <xf borderId="17" fillId="8" fontId="1" numFmtId="0" xfId="0" applyBorder="1" applyFill="1" applyFont="1"/>
    <xf borderId="17" fillId="9" fontId="1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1" fillId="10" fontId="1" numFmtId="0" xfId="0" applyAlignment="1" applyBorder="1" applyFill="1" applyFont="1">
      <alignment vertical="bottom"/>
    </xf>
    <xf borderId="17" fillId="0" fontId="1" numFmtId="0" xfId="0" applyAlignment="1" applyBorder="1" applyFont="1">
      <alignment vertical="bottom"/>
    </xf>
    <xf borderId="17" fillId="0" fontId="1" numFmtId="0" xfId="0" applyAlignment="1" applyBorder="1" applyFont="1">
      <alignment horizontal="center" readingOrder="0" vertical="bottom"/>
    </xf>
    <xf borderId="17" fillId="11" fontId="1" numFmtId="0" xfId="0" applyAlignment="1" applyBorder="1" applyFill="1" applyFont="1">
      <alignment horizontal="center" vertical="bottom"/>
    </xf>
    <xf borderId="17" fillId="0" fontId="1" numFmtId="0" xfId="0" applyAlignment="1" applyBorder="1" applyFont="1">
      <alignment horizontal="center" vertical="bottom"/>
    </xf>
    <xf borderId="18" fillId="0" fontId="9" numFmtId="0" xfId="0" applyAlignment="1" applyBorder="1" applyFont="1">
      <alignment horizontal="center"/>
    </xf>
    <xf borderId="19" fillId="0" fontId="10" numFmtId="0" xfId="0" applyAlignment="1" applyBorder="1" applyFont="1">
      <alignment horizontal="right" vertical="bottom"/>
    </xf>
    <xf borderId="19" fillId="11" fontId="11" numFmtId="2" xfId="0" applyAlignment="1" applyBorder="1" applyFont="1" applyNumberFormat="1">
      <alignment horizontal="right" vertical="bottom"/>
    </xf>
    <xf borderId="20" fillId="0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21" fillId="0" fontId="2" numFmtId="0" xfId="0" applyBorder="1" applyFont="1"/>
    <xf borderId="19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20" fillId="0" fontId="2" numFmtId="0" xfId="0" applyBorder="1" applyFont="1"/>
    <xf borderId="19" fillId="0" fontId="1" numFmtId="0" xfId="0" applyAlignment="1" applyBorder="1" applyFont="1">
      <alignment shrinkToFit="0" vertical="bottom" wrapText="1"/>
    </xf>
    <xf borderId="1" fillId="0" fontId="1" numFmtId="14" xfId="0" applyAlignment="1" applyBorder="1" applyFont="1" applyNumberFormat="1">
      <alignment horizontal="center" vertical="bottom"/>
    </xf>
    <xf borderId="17" fillId="7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9" fillId="0" fontId="1" numFmtId="0" xfId="0" applyAlignment="1" applyBorder="1" applyFont="1">
      <alignment horizontal="center" vertical="bottom"/>
    </xf>
    <xf borderId="19" fillId="11" fontId="11" numFmtId="165" xfId="0" applyAlignment="1" applyBorder="1" applyFont="1" applyNumberFormat="1">
      <alignment horizontal="right" vertical="bottom"/>
    </xf>
    <xf borderId="19" fillId="11" fontId="1" numFmtId="0" xfId="0" applyAlignment="1" applyBorder="1" applyFont="1">
      <alignment horizontal="right" vertical="bottom"/>
    </xf>
    <xf borderId="1" fillId="0" fontId="1" numFmtId="166" xfId="0" applyAlignment="1" applyBorder="1" applyFont="1" applyNumberFormat="1">
      <alignment horizontal="center" readingOrder="0" vertical="bottom"/>
    </xf>
    <xf borderId="19" fillId="11" fontId="11" numFmtId="0" xfId="0" applyAlignment="1" applyBorder="1" applyFont="1">
      <alignment horizontal="right" vertical="bottom"/>
    </xf>
    <xf borderId="17" fillId="3" fontId="12" numFmtId="0" xfId="0" applyAlignment="1" applyBorder="1" applyFont="1">
      <alignment horizontal="center" vertical="bottom"/>
    </xf>
    <xf borderId="17" fillId="9" fontId="1" numFmtId="0" xfId="0" applyAlignment="1" applyBorder="1" applyFont="1">
      <alignment vertical="bottom"/>
    </xf>
    <xf borderId="4" fillId="0" fontId="13" numFmtId="0" xfId="0" applyAlignment="1" applyBorder="1" applyFont="1">
      <alignment horizontal="center"/>
    </xf>
    <xf borderId="4" fillId="0" fontId="1" numFmtId="0" xfId="0" applyAlignment="1" applyBorder="1" applyFont="1">
      <alignment vertical="bottom"/>
    </xf>
    <xf borderId="22" fillId="9" fontId="1" numFmtId="0" xfId="0" applyAlignment="1" applyBorder="1" applyFont="1">
      <alignment vertical="bottom"/>
    </xf>
    <xf borderId="19" fillId="0" fontId="14" numFmtId="0" xfId="0" applyAlignment="1" applyBorder="1" applyFont="1">
      <alignment vertical="bottom"/>
    </xf>
    <xf borderId="17" fillId="0" fontId="1" numFmtId="0" xfId="0" applyAlignment="1" applyBorder="1" applyFont="1">
      <alignment horizontal="right" vertical="bottom"/>
    </xf>
    <xf borderId="17" fillId="0" fontId="1" numFmtId="0" xfId="0" applyAlignment="1" applyBorder="1" applyFont="1">
      <alignment horizontal="right" readingOrder="0" vertical="bottom"/>
    </xf>
    <xf borderId="22" fillId="11" fontId="1" numFmtId="0" xfId="0" applyAlignment="1" applyBorder="1" applyFont="1">
      <alignment horizontal="right" vertical="bottom"/>
    </xf>
    <xf borderId="4" fillId="0" fontId="1" numFmtId="0" xfId="0" applyBorder="1" applyFont="1"/>
    <xf borderId="23" fillId="0" fontId="1" numFmtId="0" xfId="0" applyAlignment="1" applyBorder="1" applyFont="1">
      <alignment horizontal="right" readingOrder="0" vertical="bottom"/>
    </xf>
    <xf borderId="17" fillId="12" fontId="12" numFmtId="0" xfId="0" applyAlignment="1" applyBorder="1" applyFill="1" applyFont="1">
      <alignment horizontal="center" vertical="bottom"/>
    </xf>
    <xf borderId="24" fillId="12" fontId="12" numFmtId="0" xfId="0" applyAlignment="1" applyBorder="1" applyFont="1">
      <alignment horizontal="center" vertical="bottom"/>
    </xf>
    <xf borderId="1" fillId="13" fontId="1" numFmtId="0" xfId="0" applyAlignment="1" applyBorder="1" applyFill="1" applyFont="1">
      <alignment vertical="bottom"/>
    </xf>
    <xf borderId="0" fillId="0" fontId="1" numFmtId="0" xfId="0" applyFont="1"/>
    <xf borderId="19" fillId="13" fontId="1" numFmtId="0" xfId="0" applyAlignment="1" applyBorder="1" applyFont="1">
      <alignment vertical="bottom"/>
    </xf>
    <xf borderId="19" fillId="9" fontId="1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vertical="bottom"/>
    </xf>
    <xf borderId="1" fillId="11" fontId="11" numFmtId="167" xfId="0" applyAlignment="1" applyBorder="1" applyFont="1" applyNumberFormat="1">
      <alignment horizontal="center" vertical="bottom"/>
    </xf>
    <xf borderId="25" fillId="0" fontId="1" numFmtId="0" xfId="0" applyAlignment="1" applyBorder="1" applyFont="1">
      <alignment vertical="bottom"/>
    </xf>
    <xf borderId="25" fillId="0" fontId="1" numFmtId="0" xfId="0" applyAlignment="1" applyBorder="1" applyFont="1">
      <alignment horizontal="right" readingOrder="0" vertical="bottom"/>
    </xf>
    <xf borderId="26" fillId="11" fontId="1" numFmtId="165" xfId="0" applyAlignment="1" applyBorder="1" applyFont="1" applyNumberFormat="1">
      <alignment horizontal="right" vertical="bottom"/>
    </xf>
    <xf borderId="26" fillId="11" fontId="1" numFmtId="168" xfId="0" applyAlignment="1" applyBorder="1" applyFont="1" applyNumberFormat="1">
      <alignment horizontal="right" vertical="bottom"/>
    </xf>
    <xf borderId="18" fillId="0" fontId="16" numFmtId="0" xfId="0" applyAlignment="1" applyBorder="1" applyFont="1">
      <alignment horizontal="center"/>
    </xf>
    <xf borderId="4" fillId="11" fontId="17" numFmtId="2" xfId="0" applyAlignment="1" applyBorder="1" applyFont="1" applyNumberFormat="1">
      <alignment horizontal="center"/>
    </xf>
    <xf borderId="18" fillId="0" fontId="1" numFmtId="0" xfId="0" applyAlignment="1" applyBorder="1" applyFont="1">
      <alignment vertical="bottom"/>
    </xf>
    <xf borderId="18" fillId="0" fontId="18" numFmtId="0" xfId="0" applyAlignment="1" applyBorder="1" applyFont="1">
      <alignment horizontal="center"/>
    </xf>
    <xf borderId="23" fillId="0" fontId="1" numFmtId="0" xfId="0" applyAlignment="1" applyBorder="1" applyFont="1">
      <alignment vertical="bottom"/>
    </xf>
    <xf borderId="23" fillId="0" fontId="1" numFmtId="0" xfId="0" applyAlignment="1" applyBorder="1" applyFont="1">
      <alignment horizontal="right" vertical="bottom"/>
    </xf>
    <xf borderId="27" fillId="11" fontId="1" numFmtId="165" xfId="0" applyAlignment="1" applyBorder="1" applyFont="1" applyNumberFormat="1">
      <alignment horizontal="right" vertical="bottom"/>
    </xf>
    <xf borderId="27" fillId="11" fontId="1" numFmtId="168" xfId="0" applyAlignment="1" applyBorder="1" applyFont="1" applyNumberFormat="1">
      <alignment horizontal="right" vertical="bottom"/>
    </xf>
    <xf borderId="4" fillId="14" fontId="19" numFmtId="0" xfId="0" applyAlignment="1" applyBorder="1" applyFill="1" applyFont="1">
      <alignment horizontal="center"/>
    </xf>
    <xf borderId="18" fillId="11" fontId="20" numFmtId="0" xfId="0" applyAlignment="1" applyBorder="1" applyFont="1">
      <alignment horizontal="center"/>
    </xf>
    <xf borderId="28" fillId="10" fontId="1" numFmtId="0" xfId="0" applyAlignment="1" applyBorder="1" applyFont="1">
      <alignment vertical="bottom"/>
    </xf>
    <xf borderId="29" fillId="10" fontId="1" numFmtId="0" xfId="0" applyAlignment="1" applyBorder="1" applyFont="1">
      <alignment vertical="bottom"/>
    </xf>
    <xf borderId="19" fillId="15" fontId="1" numFmtId="0" xfId="0" applyAlignment="1" applyBorder="1" applyFill="1" applyFont="1">
      <alignment vertical="bottom"/>
    </xf>
    <xf borderId="1" fillId="11" fontId="1" numFmtId="0" xfId="0" applyAlignment="1" applyBorder="1" applyFont="1">
      <alignment horizontal="center" vertical="bottom"/>
    </xf>
    <xf borderId="18" fillId="0" fontId="2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30" fillId="5" fontId="1" numFmtId="0" xfId="0" applyAlignment="1" applyBorder="1" applyFont="1">
      <alignment vertical="bottom"/>
    </xf>
    <xf borderId="31" fillId="0" fontId="2" numFmtId="0" xfId="0" applyBorder="1" applyFont="1"/>
    <xf borderId="32" fillId="7" fontId="12" numFmtId="0" xfId="0" applyAlignment="1" applyBorder="1" applyFont="1">
      <alignment horizontal="center"/>
    </xf>
    <xf borderId="4" fillId="0" fontId="22" numFmtId="167" xfId="0" applyAlignment="1" applyBorder="1" applyFont="1" applyNumberFormat="1">
      <alignment horizontal="center" readingOrder="0"/>
    </xf>
    <xf borderId="33" fillId="0" fontId="2" numFmtId="0" xfId="0" applyBorder="1" applyFont="1"/>
    <xf borderId="34" fillId="0" fontId="2" numFmtId="0" xfId="0" applyBorder="1" applyFont="1"/>
    <xf borderId="15" fillId="16" fontId="1" numFmtId="0" xfId="0" applyAlignment="1" applyBorder="1" applyFill="1" applyFont="1">
      <alignment vertical="bottom"/>
    </xf>
    <xf borderId="1" fillId="16" fontId="1" numFmtId="0" xfId="0" applyAlignment="1" applyBorder="1" applyFont="1">
      <alignment vertical="bottom"/>
    </xf>
    <xf borderId="4" fillId="17" fontId="23" numFmtId="0" xfId="0" applyAlignment="1" applyBorder="1" applyFill="1" applyFont="1">
      <alignment horizontal="center" vertical="bottom"/>
    </xf>
    <xf borderId="4" fillId="18" fontId="5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35" fillId="5" fontId="1" numFmtId="0" xfId="0" applyAlignment="1" applyBorder="1" applyFont="1">
      <alignment vertical="bottom"/>
    </xf>
    <xf borderId="18" fillId="0" fontId="24" numFmtId="0" xfId="0" applyAlignment="1" applyBorder="1" applyFont="1">
      <alignment horizontal="center" vertical="bottom"/>
    </xf>
    <xf borderId="4" fillId="11" fontId="25" numFmtId="165" xfId="0" applyAlignment="1" applyBorder="1" applyFont="1" applyNumberFormat="1">
      <alignment horizontal="center"/>
    </xf>
    <xf borderId="18" fillId="0" fontId="26" numFmtId="0" xfId="0" applyAlignment="1" applyBorder="1" applyFont="1">
      <alignment horizontal="center"/>
    </xf>
    <xf borderId="4" fillId="11" fontId="27" numFmtId="2" xfId="0" applyAlignment="1" applyBorder="1" applyFont="1" applyNumberFormat="1">
      <alignment horizontal="center" vertical="bottom"/>
    </xf>
    <xf borderId="4" fillId="0" fontId="28" numFmtId="0" xfId="0" applyAlignment="1" applyBorder="1" applyFont="1">
      <alignment horizontal="center"/>
    </xf>
    <xf borderId="4" fillId="19" fontId="29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horizontal="center" vertical="bottom"/>
    </xf>
    <xf borderId="4" fillId="11" fontId="25" numFmtId="2" xfId="0" applyAlignment="1" applyBorder="1" applyFont="1" applyNumberFormat="1">
      <alignment horizontal="center"/>
    </xf>
    <xf borderId="18" fillId="0" fontId="30" numFmtId="0" xfId="0" applyAlignment="1" applyBorder="1" applyFont="1">
      <alignment horizontal="center" vertical="bottom"/>
    </xf>
    <xf borderId="18" fillId="0" fontId="26" numFmtId="0" xfId="0" applyAlignment="1" applyBorder="1" applyFont="1">
      <alignment horizontal="center" shrinkToFit="0" wrapText="1"/>
    </xf>
    <xf borderId="4" fillId="11" fontId="27" numFmtId="0" xfId="0" applyAlignment="1" applyBorder="1" applyFont="1">
      <alignment horizontal="center" vertical="bottom"/>
    </xf>
    <xf borderId="4" fillId="0" fontId="31" numFmtId="0" xfId="0" applyAlignment="1" applyBorder="1" applyFont="1">
      <alignment horizontal="center"/>
    </xf>
    <xf borderId="4" fillId="9" fontId="29" numFmtId="0" xfId="0" applyAlignment="1" applyBorder="1" applyFont="1">
      <alignment horizontal="center" shrinkToFit="0" wrapText="1"/>
    </xf>
    <xf borderId="4" fillId="20" fontId="32" numFmtId="0" xfId="0" applyAlignment="1" applyBorder="1" applyFill="1" applyFont="1">
      <alignment horizontal="center" shrinkToFit="0" wrapText="1"/>
    </xf>
    <xf borderId="18" fillId="11" fontId="33" numFmtId="165" xfId="0" applyAlignment="1" applyBorder="1" applyFont="1" applyNumberFormat="1">
      <alignment horizontal="center"/>
    </xf>
    <xf borderId="18" fillId="0" fontId="34" numFmtId="0" xfId="0" applyAlignment="1" applyBorder="1" applyFont="1">
      <alignment horizontal="center" vertical="bottom"/>
    </xf>
    <xf borderId="4" fillId="21" fontId="31" numFmtId="0" xfId="0" applyAlignment="1" applyBorder="1" applyFill="1" applyFont="1">
      <alignment horizontal="center"/>
    </xf>
    <xf borderId="18" fillId="0" fontId="13" numFmtId="0" xfId="0" applyAlignment="1" applyBorder="1" applyFont="1">
      <alignment horizontal="center"/>
    </xf>
    <xf borderId="4" fillId="11" fontId="27" numFmtId="2" xfId="0" applyAlignment="1" applyBorder="1" applyFont="1" applyNumberFormat="1">
      <alignment horizontal="center"/>
    </xf>
    <xf borderId="4" fillId="22" fontId="29" numFmtId="0" xfId="0" applyAlignment="1" applyBorder="1" applyFill="1" applyFont="1">
      <alignment horizontal="center" shrinkToFit="0" wrapText="1"/>
    </xf>
    <xf borderId="4" fillId="11" fontId="25" numFmtId="0" xfId="0" applyAlignment="1" applyBorder="1" applyFont="1">
      <alignment horizontal="center"/>
    </xf>
    <xf borderId="36" fillId="10" fontId="1" numFmtId="0" xfId="0" applyAlignment="1" applyBorder="1" applyFont="1">
      <alignment vertical="bottom"/>
    </xf>
    <xf borderId="37" fillId="5" fontId="1" numFmtId="0" xfId="0" applyAlignment="1" applyBorder="1" applyFont="1">
      <alignment vertical="bottom"/>
    </xf>
    <xf borderId="1" fillId="14" fontId="5" numFmtId="0" xfId="0" applyAlignment="1" applyBorder="1" applyFont="1">
      <alignment horizontal="center" vertical="bottom"/>
    </xf>
    <xf borderId="4" fillId="5" fontId="1" numFmtId="0" xfId="0" applyAlignment="1" applyBorder="1" applyFont="1">
      <alignment vertical="bottom"/>
    </xf>
    <xf borderId="38" fillId="5" fontId="1" numFmtId="0" xfId="0" applyAlignment="1" applyBorder="1" applyFont="1">
      <alignment vertical="bottom"/>
    </xf>
    <xf borderId="4" fillId="0" fontId="35" numFmtId="0" xfId="0" applyAlignment="1" applyBorder="1" applyFont="1">
      <alignment horizontal="center" vertical="bottom"/>
    </xf>
    <xf borderId="18" fillId="11" fontId="25" numFmtId="165" xfId="0" applyAlignment="1" applyBorder="1" applyFont="1" applyNumberFormat="1">
      <alignment horizontal="center" vertical="bottom"/>
    </xf>
    <xf borderId="0" fillId="21" fontId="36" numFmtId="0" xfId="0" applyAlignment="1" applyFont="1">
      <alignment horizontal="center"/>
    </xf>
    <xf borderId="4" fillId="0" fontId="37" numFmtId="0" xfId="0" applyAlignment="1" applyBorder="1" applyFont="1">
      <alignment horizontal="center"/>
    </xf>
    <xf borderId="4" fillId="11" fontId="17" numFmtId="165" xfId="0" applyAlignment="1" applyBorder="1" applyFont="1" applyNumberFormat="1">
      <alignment horizontal="center" vertical="bottom"/>
    </xf>
    <xf borderId="4" fillId="23" fontId="29" numFmtId="0" xfId="0" applyAlignment="1" applyBorder="1" applyFill="1" applyFont="1">
      <alignment horizontal="center" shrinkToFit="0" wrapText="1"/>
    </xf>
    <xf borderId="0" fillId="21" fontId="15" numFmtId="0" xfId="0" applyAlignment="1" applyFont="1">
      <alignment horizontal="center"/>
    </xf>
    <xf borderId="0" fillId="21" fontId="38" numFmtId="0" xfId="0" applyAlignment="1" applyFont="1">
      <alignment horizontal="center"/>
    </xf>
    <xf borderId="4" fillId="0" fontId="39" numFmtId="0" xfId="0" applyAlignment="1" applyBorder="1" applyFont="1">
      <alignment horizontal="center"/>
    </xf>
    <xf borderId="4" fillId="11" fontId="17" numFmtId="2" xfId="0" applyAlignment="1" applyBorder="1" applyFont="1" applyNumberFormat="1">
      <alignment horizontal="center" vertical="bottom"/>
    </xf>
    <xf borderId="0" fillId="21" fontId="1" numFmtId="0" xfId="0" applyAlignment="1" applyFont="1">
      <alignment vertical="bottom"/>
    </xf>
    <xf borderId="0" fillId="21" fontId="26" numFmtId="0" xfId="0" applyAlignment="1" applyFont="1">
      <alignment horizontal="center" vertical="bottom"/>
    </xf>
    <xf borderId="0" fillId="21" fontId="17" numFmtId="0" xfId="0" applyAlignment="1" applyFont="1">
      <alignment horizontal="center" vertical="bottom"/>
    </xf>
    <xf borderId="4" fillId="0" fontId="40" numFmtId="0" xfId="0" applyAlignment="1" applyBorder="1" applyFont="1">
      <alignment horizontal="center"/>
    </xf>
    <xf borderId="4" fillId="11" fontId="41" numFmtId="165" xfId="0" applyAlignment="1" applyBorder="1" applyFont="1" applyNumberFormat="1">
      <alignment horizontal="center" vertical="bottom"/>
    </xf>
    <xf borderId="4" fillId="11" fontId="41" numFmtId="2" xfId="0" applyAlignment="1" applyBorder="1" applyFont="1" applyNumberFormat="1">
      <alignment horizontal="center" vertical="bottom"/>
    </xf>
    <xf borderId="0" fillId="21" fontId="17" numFmtId="165" xfId="0" applyAlignment="1" applyFont="1" applyNumberFormat="1">
      <alignment horizontal="center"/>
    </xf>
    <xf borderId="0" fillId="21" fontId="1" numFmtId="0" xfId="0" applyFont="1"/>
    <xf borderId="0" fillId="0" fontId="26" numFmtId="0" xfId="0" applyAlignment="1" applyFont="1">
      <alignment horizontal="center" vertical="bottom"/>
    </xf>
    <xf borderId="12" fillId="6" fontId="1" numFmtId="0" xfId="0" applyAlignment="1" applyBorder="1" applyFont="1">
      <alignment vertical="bottom"/>
    </xf>
    <xf borderId="7" fillId="6" fontId="1" numFmtId="14" xfId="0" applyAlignment="1" applyBorder="1" applyFont="1" applyNumberFormat="1">
      <alignment horizontal="center" vertical="bottom"/>
    </xf>
    <xf borderId="1" fillId="24" fontId="1" numFmtId="0" xfId="0" applyAlignment="1" applyBorder="1" applyFill="1" applyFont="1">
      <alignment horizontal="center" vertical="bottom"/>
    </xf>
    <xf borderId="17" fillId="0" fontId="42" numFmtId="0" xfId="0" applyAlignment="1" applyBorder="1" applyFont="1">
      <alignment shrinkToFit="0" vertical="bottom" wrapText="0"/>
    </xf>
    <xf borderId="17" fillId="0" fontId="43" numFmtId="0" xfId="0" applyAlignment="1" applyBorder="1" applyFont="1">
      <alignment vertical="bottom"/>
    </xf>
    <xf borderId="19" fillId="11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19" fillId="11" fontId="11" numFmtId="169" xfId="0" applyAlignment="1" applyBorder="1" applyFont="1" applyNumberFormat="1">
      <alignment horizontal="right" vertical="bottom"/>
    </xf>
    <xf borderId="19" fillId="25" fontId="14" numFmtId="0" xfId="0" applyAlignment="1" applyBorder="1" applyFill="1" applyFont="1">
      <alignment vertical="bottom"/>
    </xf>
    <xf borderId="26" fillId="11" fontId="1" numFmtId="2" xfId="0" applyAlignment="1" applyBorder="1" applyFont="1" applyNumberFormat="1">
      <alignment horizontal="right" vertical="bottom"/>
    </xf>
    <xf borderId="4" fillId="11" fontId="27" numFmtId="165" xfId="0" applyAlignment="1" applyBorder="1" applyFont="1" applyNumberFormat="1">
      <alignment horizontal="center" vertical="bottom"/>
    </xf>
    <xf borderId="4" fillId="11" fontId="25" numFmtId="1" xfId="0" applyAlignment="1" applyBorder="1" applyFont="1" applyNumberFormat="1">
      <alignment horizontal="center"/>
    </xf>
    <xf borderId="4" fillId="11" fontId="25" numFmtId="168" xfId="0" applyAlignment="1" applyBorder="1" applyFont="1" applyNumberFormat="1">
      <alignment horizontal="center"/>
    </xf>
    <xf borderId="4" fillId="0" fontId="17" numFmtId="0" xfId="0" applyAlignment="1" applyBorder="1" applyFont="1">
      <alignment horizontal="center" vertical="bottom"/>
    </xf>
    <xf borderId="18" fillId="11" fontId="4" numFmtId="165" xfId="0" applyAlignment="1" applyBorder="1" applyFont="1" applyNumberFormat="1">
      <alignment horizontal="center" vertical="bottom"/>
    </xf>
    <xf borderId="4" fillId="11" fontId="41" numFmtId="1" xfId="0" applyAlignment="1" applyBorder="1" applyFont="1" applyNumberFormat="1">
      <alignment horizontal="center" vertical="bottom"/>
    </xf>
    <xf borderId="4" fillId="11" fontId="41" numFmtId="168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5"/>
    <col customWidth="1" min="4" max="6" width="12.63"/>
    <col customWidth="1" min="7" max="7" width="25.75"/>
    <col customWidth="1" min="12" max="12" width="5.38"/>
    <col customWidth="1" min="13" max="13" width="32.38"/>
    <col customWidth="1" min="19" max="19" width="35.5"/>
    <col customWidth="1" min="39" max="39" width="25.5"/>
    <col customWidth="1" min="40" max="41" width="20.25"/>
    <col customWidth="1" min="42" max="42" width="20.63"/>
    <col customWidth="1" min="43" max="43" width="14.88"/>
  </cols>
  <sheetData>
    <row r="1" ht="15.75" customHeight="1"/>
    <row r="2" ht="15.75" customHeight="1">
      <c r="B2" s="1"/>
      <c r="C2" s="2" t="s">
        <v>0</v>
      </c>
      <c r="D2" s="3"/>
      <c r="E2" s="3"/>
      <c r="F2" s="3"/>
      <c r="G2" s="4"/>
      <c r="H2" s="1"/>
      <c r="I2" s="1"/>
      <c r="J2" s="1"/>
      <c r="K2" s="1"/>
      <c r="L2" s="1"/>
      <c r="M2" s="5" t="s">
        <v>1</v>
      </c>
      <c r="N2" s="6"/>
      <c r="O2" s="6"/>
      <c r="P2" s="6"/>
      <c r="Q2" s="6"/>
      <c r="R2" s="6"/>
      <c r="S2" s="6"/>
      <c r="T2" s="6"/>
      <c r="U2" s="6"/>
      <c r="V2" s="7"/>
      <c r="W2" s="1"/>
      <c r="X2" s="1"/>
      <c r="Y2" s="1"/>
      <c r="Z2" s="1"/>
      <c r="AA2" s="8" t="s">
        <v>2</v>
      </c>
      <c r="AB2" s="6"/>
      <c r="AC2" s="6"/>
      <c r="AD2" s="6"/>
      <c r="AE2" s="6"/>
      <c r="AF2" s="7"/>
      <c r="AG2" s="1"/>
      <c r="AH2" s="1"/>
      <c r="AI2" s="1"/>
      <c r="AJ2" s="1"/>
      <c r="AK2" s="1"/>
      <c r="AL2" s="1"/>
      <c r="AM2" s="1"/>
      <c r="AN2" s="1"/>
      <c r="AO2" s="9" t="s">
        <v>3</v>
      </c>
      <c r="AP2" s="6"/>
      <c r="AQ2" s="7"/>
    </row>
    <row r="3" ht="15.75" customHeight="1">
      <c r="B3" s="1"/>
      <c r="C3" s="10"/>
      <c r="D3" s="3"/>
      <c r="E3" s="3"/>
      <c r="F3" s="3"/>
      <c r="G3" s="4"/>
      <c r="H3" s="1"/>
      <c r="I3" s="1"/>
      <c r="J3" s="1"/>
      <c r="K3" s="1"/>
      <c r="L3" s="1"/>
      <c r="M3" s="11"/>
      <c r="N3" s="12"/>
      <c r="O3" s="12"/>
      <c r="P3" s="12"/>
      <c r="Q3" s="12"/>
      <c r="R3" s="12"/>
      <c r="S3" s="12"/>
      <c r="T3" s="12"/>
      <c r="U3" s="12"/>
      <c r="V3" s="13"/>
      <c r="W3" s="1"/>
      <c r="X3" s="1"/>
      <c r="Y3" s="1"/>
      <c r="Z3" s="1"/>
      <c r="AA3" s="11"/>
      <c r="AB3" s="12"/>
      <c r="AC3" s="12"/>
      <c r="AD3" s="12"/>
      <c r="AE3" s="12"/>
      <c r="AF3" s="13"/>
      <c r="AG3" s="1"/>
      <c r="AH3" s="1"/>
      <c r="AI3" s="1"/>
      <c r="AJ3" s="1"/>
      <c r="AK3" s="1"/>
      <c r="AL3" s="1"/>
      <c r="AM3" s="1"/>
      <c r="AN3" s="1"/>
      <c r="AO3" s="14"/>
      <c r="AQ3" s="15"/>
    </row>
    <row r="4" ht="15.75" customHeight="1">
      <c r="B4" s="1"/>
      <c r="C4" s="16"/>
      <c r="D4" s="17"/>
      <c r="E4" s="12"/>
      <c r="F4" s="12"/>
      <c r="G4" s="13"/>
      <c r="H4" s="1"/>
      <c r="I4" s="1"/>
      <c r="J4" s="1"/>
      <c r="K4" s="1"/>
      <c r="L4" s="1"/>
      <c r="M4" s="18" t="s">
        <v>4</v>
      </c>
      <c r="N4" s="19"/>
      <c r="O4" s="19"/>
      <c r="P4" s="20"/>
      <c r="Q4" s="21"/>
      <c r="R4" s="21"/>
      <c r="S4" s="18" t="s">
        <v>5</v>
      </c>
      <c r="T4" s="19"/>
      <c r="U4" s="19"/>
      <c r="V4" s="20"/>
      <c r="W4" s="1"/>
      <c r="X4" s="1"/>
      <c r="Y4" s="1"/>
      <c r="Z4" s="1"/>
      <c r="AA4" s="10"/>
      <c r="AB4" s="3"/>
      <c r="AC4" s="3"/>
      <c r="AD4" s="3"/>
      <c r="AE4" s="3"/>
      <c r="AF4" s="4"/>
      <c r="AG4" s="1"/>
      <c r="AH4" s="1"/>
      <c r="AI4" s="1"/>
      <c r="AJ4" s="1"/>
      <c r="AK4" s="1"/>
      <c r="AL4" s="1"/>
      <c r="AM4" s="1"/>
      <c r="AN4" s="1"/>
      <c r="AO4" s="11"/>
      <c r="AP4" s="12"/>
      <c r="AQ4" s="13"/>
    </row>
    <row r="5" ht="15.75" customHeight="1">
      <c r="B5" s="1"/>
      <c r="C5" s="22" t="s">
        <v>6</v>
      </c>
      <c r="D5" s="23">
        <v>46133.0</v>
      </c>
      <c r="E5" s="3"/>
      <c r="F5" s="3"/>
      <c r="G5" s="4"/>
      <c r="H5" s="1"/>
      <c r="I5" s="1"/>
      <c r="J5" s="1"/>
      <c r="K5" s="1"/>
      <c r="L5" s="1"/>
      <c r="M5" s="24"/>
      <c r="N5" s="25" t="s">
        <v>7</v>
      </c>
      <c r="O5" s="25" t="s">
        <v>8</v>
      </c>
      <c r="P5" s="25" t="s">
        <v>9</v>
      </c>
      <c r="Q5" s="21"/>
      <c r="R5" s="21"/>
      <c r="S5" s="24"/>
      <c r="T5" s="25" t="s">
        <v>7</v>
      </c>
      <c r="U5" s="25" t="s">
        <v>8</v>
      </c>
      <c r="V5" s="25" t="s">
        <v>9</v>
      </c>
      <c r="W5" s="1"/>
      <c r="X5" s="1"/>
      <c r="Y5" s="1"/>
      <c r="Z5" s="1"/>
      <c r="AA5" s="26" t="s">
        <v>10</v>
      </c>
      <c r="AB5" s="6"/>
      <c r="AC5" s="7"/>
      <c r="AD5" s="27" t="s">
        <v>11</v>
      </c>
      <c r="AE5" s="6"/>
      <c r="AF5" s="7"/>
      <c r="AG5" s="1"/>
      <c r="AH5" s="1"/>
      <c r="AI5" s="1"/>
      <c r="AJ5" s="1"/>
      <c r="AK5" s="1"/>
      <c r="AL5" s="1"/>
      <c r="AM5" s="1"/>
      <c r="AN5" s="1"/>
      <c r="AO5" s="28"/>
      <c r="AP5" s="3"/>
      <c r="AQ5" s="4"/>
    </row>
    <row r="6" ht="15.75" customHeight="1">
      <c r="B6" s="1"/>
      <c r="C6" s="10"/>
      <c r="D6" s="3"/>
      <c r="E6" s="3"/>
      <c r="F6" s="3"/>
      <c r="G6" s="4"/>
      <c r="H6" s="1"/>
      <c r="I6" s="1"/>
      <c r="J6" s="1"/>
      <c r="K6" s="1"/>
      <c r="L6" s="1"/>
      <c r="M6" s="29" t="s">
        <v>12</v>
      </c>
      <c r="N6" s="30">
        <v>30.0</v>
      </c>
      <c r="O6" s="30"/>
      <c r="P6" s="31">
        <f t="shared" ref="P6:P12" si="1">(N6+O6)/2</f>
        <v>15</v>
      </c>
      <c r="Q6" s="21"/>
      <c r="R6" s="21"/>
      <c r="S6" s="29" t="s">
        <v>12</v>
      </c>
      <c r="T6" s="32"/>
      <c r="U6" s="32"/>
      <c r="V6" s="32"/>
      <c r="W6" s="1"/>
      <c r="X6" s="1"/>
      <c r="Y6" s="1"/>
      <c r="Z6" s="1"/>
      <c r="AA6" s="11"/>
      <c r="AB6" s="12"/>
      <c r="AC6" s="13"/>
      <c r="AD6" s="11"/>
      <c r="AE6" s="12"/>
      <c r="AF6" s="13"/>
      <c r="AG6" s="1"/>
      <c r="AH6" s="1"/>
      <c r="AI6" s="1"/>
      <c r="AJ6" s="1"/>
      <c r="AK6" s="1"/>
      <c r="AL6" s="1"/>
      <c r="AM6" s="1"/>
      <c r="AN6" s="1"/>
      <c r="AO6" s="33" t="s">
        <v>13</v>
      </c>
      <c r="AP6" s="34" t="s">
        <v>14</v>
      </c>
      <c r="AQ6" s="35">
        <f>(P15+P17+P20)*(170.18/D11)</f>
        <v>6.974590164</v>
      </c>
    </row>
    <row r="7" ht="15.75" customHeight="1">
      <c r="B7" s="1"/>
      <c r="C7" s="36" t="s">
        <v>15</v>
      </c>
      <c r="D7" s="37"/>
      <c r="E7" s="3"/>
      <c r="F7" s="3"/>
      <c r="G7" s="4"/>
      <c r="H7" s="1"/>
      <c r="I7" s="1"/>
      <c r="J7" s="1"/>
      <c r="K7" s="1"/>
      <c r="L7" s="1"/>
      <c r="M7" s="29" t="s">
        <v>16</v>
      </c>
      <c r="N7" s="30">
        <v>35.8</v>
      </c>
      <c r="O7" s="30"/>
      <c r="P7" s="31">
        <f t="shared" si="1"/>
        <v>17.9</v>
      </c>
      <c r="Q7" s="21"/>
      <c r="R7" s="21"/>
      <c r="S7" s="29" t="s">
        <v>17</v>
      </c>
      <c r="T7" s="29"/>
      <c r="U7" s="29"/>
      <c r="V7" s="29"/>
      <c r="W7" s="1"/>
      <c r="X7" s="1"/>
      <c r="Y7" s="1"/>
      <c r="Z7" s="1"/>
      <c r="AA7" s="26" t="s">
        <v>18</v>
      </c>
      <c r="AB7" s="6"/>
      <c r="AC7" s="7"/>
      <c r="AD7" s="27" t="s">
        <v>19</v>
      </c>
      <c r="AE7" s="6"/>
      <c r="AF7" s="7"/>
      <c r="AG7" s="1"/>
      <c r="AH7" s="1"/>
      <c r="AI7" s="1"/>
      <c r="AJ7" s="1"/>
      <c r="AK7" s="1"/>
      <c r="AL7" s="1"/>
      <c r="AM7" s="1"/>
      <c r="AN7" s="1"/>
      <c r="AO7" s="38"/>
      <c r="AP7" s="34" t="s">
        <v>20</v>
      </c>
      <c r="AQ7" s="35">
        <f>AQ6*AQ6</f>
        <v>48.64490795</v>
      </c>
    </row>
    <row r="8" ht="15.75" customHeight="1">
      <c r="B8" s="1"/>
      <c r="C8" s="39" t="s">
        <v>21</v>
      </c>
      <c r="D8" s="40" t="s">
        <v>22</v>
      </c>
      <c r="E8" s="3"/>
      <c r="F8" s="3"/>
      <c r="G8" s="4"/>
      <c r="H8" s="1"/>
      <c r="I8" s="1"/>
      <c r="J8" s="1"/>
      <c r="K8" s="1"/>
      <c r="L8" s="1"/>
      <c r="M8" s="29" t="s">
        <v>23</v>
      </c>
      <c r="N8" s="30">
        <v>14.0</v>
      </c>
      <c r="O8" s="30"/>
      <c r="P8" s="31">
        <f t="shared" si="1"/>
        <v>7</v>
      </c>
      <c r="Q8" s="21"/>
      <c r="R8" s="21"/>
      <c r="S8" s="29" t="s">
        <v>24</v>
      </c>
      <c r="T8" s="29"/>
      <c r="U8" s="29"/>
      <c r="V8" s="29"/>
      <c r="W8" s="1"/>
      <c r="X8" s="1"/>
      <c r="Y8" s="1"/>
      <c r="Z8" s="1"/>
      <c r="AA8" s="11"/>
      <c r="AB8" s="12"/>
      <c r="AC8" s="13"/>
      <c r="AD8" s="11"/>
      <c r="AE8" s="12"/>
      <c r="AF8" s="13"/>
      <c r="AG8" s="1"/>
      <c r="AH8" s="1"/>
      <c r="AI8" s="1"/>
      <c r="AJ8" s="1"/>
      <c r="AK8" s="1"/>
      <c r="AL8" s="1"/>
      <c r="AM8" s="1"/>
      <c r="AN8" s="1"/>
      <c r="AO8" s="41"/>
      <c r="AP8" s="34" t="s">
        <v>25</v>
      </c>
      <c r="AQ8" s="35">
        <f>AQ7*AQ6</f>
        <v>339.2782965</v>
      </c>
    </row>
    <row r="9" ht="15.75" customHeight="1">
      <c r="B9" s="1"/>
      <c r="C9" s="42" t="s">
        <v>26</v>
      </c>
      <c r="D9" s="43"/>
      <c r="E9" s="3"/>
      <c r="F9" s="3"/>
      <c r="G9" s="4"/>
      <c r="H9" s="1"/>
      <c r="I9" s="1"/>
      <c r="J9" s="1"/>
      <c r="K9" s="1"/>
      <c r="L9" s="1"/>
      <c r="M9" s="29" t="s">
        <v>27</v>
      </c>
      <c r="N9" s="30">
        <v>77.0</v>
      </c>
      <c r="O9" s="30"/>
      <c r="P9" s="31">
        <f t="shared" si="1"/>
        <v>38.5</v>
      </c>
      <c r="Q9" s="21"/>
      <c r="R9" s="21"/>
      <c r="S9" s="44"/>
      <c r="T9" s="29"/>
      <c r="U9" s="29"/>
      <c r="V9" s="29"/>
      <c r="W9" s="1"/>
      <c r="X9" s="1"/>
      <c r="Y9" s="1"/>
      <c r="Z9" s="1"/>
      <c r="AA9" s="26" t="s">
        <v>28</v>
      </c>
      <c r="AB9" s="6"/>
      <c r="AC9" s="7"/>
      <c r="AD9" s="27" t="s">
        <v>29</v>
      </c>
      <c r="AE9" s="6"/>
      <c r="AF9" s="7"/>
      <c r="AG9" s="1"/>
      <c r="AH9" s="1"/>
      <c r="AI9" s="1"/>
      <c r="AJ9" s="1"/>
      <c r="AK9" s="1"/>
      <c r="AL9" s="1"/>
      <c r="AM9" s="1"/>
      <c r="AN9" s="1"/>
      <c r="AO9" s="28"/>
      <c r="AP9" s="3"/>
      <c r="AQ9" s="4"/>
    </row>
    <row r="10" ht="15.75" customHeight="1">
      <c r="B10" s="1"/>
      <c r="C10" s="39" t="s">
        <v>30</v>
      </c>
      <c r="D10" s="45">
        <v>25.0</v>
      </c>
      <c r="E10" s="3"/>
      <c r="F10" s="3"/>
      <c r="G10" s="4"/>
      <c r="H10" s="1"/>
      <c r="I10" s="1"/>
      <c r="J10" s="1"/>
      <c r="K10" s="1"/>
      <c r="L10" s="1"/>
      <c r="M10" s="29" t="s">
        <v>31</v>
      </c>
      <c r="N10" s="30">
        <v>95.0</v>
      </c>
      <c r="O10" s="30"/>
      <c r="P10" s="31">
        <f t="shared" si="1"/>
        <v>47.5</v>
      </c>
      <c r="Q10" s="21"/>
      <c r="R10" s="21"/>
      <c r="S10" s="29" t="s">
        <v>32</v>
      </c>
      <c r="T10" s="29"/>
      <c r="U10" s="29"/>
      <c r="V10" s="29"/>
      <c r="W10" s="1"/>
      <c r="X10" s="1"/>
      <c r="Y10" s="1"/>
      <c r="Z10" s="1"/>
      <c r="AA10" s="11"/>
      <c r="AB10" s="12"/>
      <c r="AC10" s="13"/>
      <c r="AD10" s="11"/>
      <c r="AE10" s="12"/>
      <c r="AF10" s="13"/>
      <c r="AG10" s="1"/>
      <c r="AH10" s="1"/>
      <c r="AI10" s="1"/>
      <c r="AJ10" s="1"/>
      <c r="AK10" s="1"/>
      <c r="AL10" s="1"/>
      <c r="AM10" s="1"/>
      <c r="AN10" s="1"/>
      <c r="AO10" s="33" t="s">
        <v>33</v>
      </c>
      <c r="AP10" s="46" t="s">
        <v>34</v>
      </c>
      <c r="AQ10" s="47">
        <f t="shared" ref="AQ10:AQ11" si="2">O25</f>
        <v>5.6</v>
      </c>
    </row>
    <row r="11" ht="15.75" customHeight="1">
      <c r="B11" s="1"/>
      <c r="C11" s="39" t="s">
        <v>35</v>
      </c>
      <c r="D11" s="45">
        <v>183.0</v>
      </c>
      <c r="E11" s="3"/>
      <c r="F11" s="4"/>
      <c r="G11" s="48">
        <f>D11/100</f>
        <v>1.83</v>
      </c>
      <c r="H11" s="1"/>
      <c r="I11" s="1"/>
      <c r="J11" s="1"/>
      <c r="K11" s="1"/>
      <c r="L11" s="1"/>
      <c r="M11" s="29" t="s">
        <v>32</v>
      </c>
      <c r="N11" s="30">
        <v>55.0</v>
      </c>
      <c r="O11" s="30"/>
      <c r="P11" s="31">
        <f t="shared" si="1"/>
        <v>27.5</v>
      </c>
      <c r="Q11" s="21"/>
      <c r="R11" s="21"/>
      <c r="S11" s="29" t="s">
        <v>36</v>
      </c>
      <c r="T11" s="29"/>
      <c r="U11" s="29"/>
      <c r="V11" s="29"/>
      <c r="W11" s="1"/>
      <c r="X11" s="1"/>
      <c r="Y11" s="1"/>
      <c r="Z11" s="1"/>
      <c r="AA11" s="26" t="s">
        <v>37</v>
      </c>
      <c r="AB11" s="6"/>
      <c r="AC11" s="7"/>
      <c r="AD11" s="27" t="s">
        <v>38</v>
      </c>
      <c r="AE11" s="6"/>
      <c r="AF11" s="7"/>
      <c r="AG11" s="1"/>
      <c r="AH11" s="1"/>
      <c r="AI11" s="1"/>
      <c r="AJ11" s="1"/>
      <c r="AK11" s="1"/>
      <c r="AL11" s="1"/>
      <c r="AM11" s="1"/>
      <c r="AN11" s="1"/>
      <c r="AO11" s="38"/>
      <c r="AP11" s="46" t="s">
        <v>39</v>
      </c>
      <c r="AQ11" s="47">
        <f t="shared" si="2"/>
        <v>8.5</v>
      </c>
    </row>
    <row r="12" ht="15.75" customHeight="1">
      <c r="B12" s="1"/>
      <c r="C12" s="39" t="s">
        <v>40</v>
      </c>
      <c r="D12" s="49">
        <v>72.0</v>
      </c>
      <c r="E12" s="3"/>
      <c r="F12" s="3"/>
      <c r="G12" s="4"/>
      <c r="H12" s="1"/>
      <c r="I12" s="1"/>
      <c r="J12" s="1"/>
      <c r="K12" s="1"/>
      <c r="L12" s="1"/>
      <c r="M12" s="29" t="s">
        <v>41</v>
      </c>
      <c r="N12" s="30">
        <v>38.0</v>
      </c>
      <c r="O12" s="30"/>
      <c r="P12" s="31">
        <f t="shared" si="1"/>
        <v>19</v>
      </c>
      <c r="Q12" s="21"/>
      <c r="R12" s="21"/>
      <c r="S12" s="29" t="s">
        <v>42</v>
      </c>
      <c r="T12" s="29"/>
      <c r="U12" s="29"/>
      <c r="V12" s="29"/>
      <c r="W12" s="1"/>
      <c r="X12" s="1"/>
      <c r="Y12" s="1"/>
      <c r="Z12" s="1"/>
      <c r="AA12" s="11"/>
      <c r="AB12" s="12"/>
      <c r="AC12" s="13"/>
      <c r="AD12" s="11"/>
      <c r="AE12" s="12"/>
      <c r="AF12" s="13"/>
      <c r="AG12" s="1"/>
      <c r="AH12" s="1"/>
      <c r="AI12" s="1"/>
      <c r="AJ12" s="1"/>
      <c r="AK12" s="1"/>
      <c r="AL12" s="1"/>
      <c r="AM12" s="1"/>
      <c r="AN12" s="1"/>
      <c r="AO12" s="38"/>
      <c r="AP12" s="46" t="s">
        <v>43</v>
      </c>
      <c r="AQ12" s="50">
        <f>P7-Q15</f>
        <v>17.65</v>
      </c>
    </row>
    <row r="13" ht="15.75" customHeight="1">
      <c r="B13" s="1"/>
      <c r="C13" s="10"/>
      <c r="D13" s="3"/>
      <c r="E13" s="3"/>
      <c r="F13" s="3"/>
      <c r="G13" s="4"/>
      <c r="H13" s="1"/>
      <c r="I13" s="1"/>
      <c r="J13" s="1"/>
      <c r="K13" s="1"/>
      <c r="L13" s="1"/>
      <c r="M13" s="29" t="s">
        <v>42</v>
      </c>
      <c r="N13" s="30">
        <v>38.0</v>
      </c>
      <c r="O13" s="30"/>
      <c r="P13" s="31">
        <v>35.0</v>
      </c>
      <c r="Q13" s="21"/>
      <c r="R13" s="21"/>
      <c r="S13" s="51" t="s">
        <v>44</v>
      </c>
      <c r="T13" s="52"/>
      <c r="U13" s="52"/>
      <c r="V13" s="52"/>
      <c r="W13" s="1"/>
      <c r="X13" s="1"/>
      <c r="Y13" s="1"/>
      <c r="Z13" s="1"/>
      <c r="AA13" s="26" t="s">
        <v>45</v>
      </c>
      <c r="AB13" s="6"/>
      <c r="AC13" s="7"/>
      <c r="AD13" s="27" t="s">
        <v>46</v>
      </c>
      <c r="AE13" s="6"/>
      <c r="AF13" s="7"/>
      <c r="AG13" s="1"/>
      <c r="AH13" s="1"/>
      <c r="AI13" s="1"/>
      <c r="AJ13" s="1"/>
      <c r="AK13" s="1"/>
      <c r="AL13" s="1"/>
      <c r="AM13" s="1"/>
      <c r="AN13" s="1"/>
      <c r="AO13" s="41"/>
      <c r="AP13" s="46" t="s">
        <v>47</v>
      </c>
      <c r="AQ13" s="50">
        <f>P13-Q22</f>
        <v>34.8</v>
      </c>
    </row>
    <row r="14" ht="15.75" customHeight="1">
      <c r="B14" s="1"/>
      <c r="C14" s="53" t="s">
        <v>48</v>
      </c>
      <c r="D14" s="6"/>
      <c r="E14" s="7"/>
      <c r="F14" s="54"/>
      <c r="G14" s="7"/>
      <c r="H14" s="1"/>
      <c r="I14" s="1"/>
      <c r="J14" s="1"/>
      <c r="K14" s="1"/>
      <c r="L14" s="1"/>
      <c r="M14" s="51" t="s">
        <v>44</v>
      </c>
      <c r="N14" s="52"/>
      <c r="O14" s="52"/>
      <c r="P14" s="55"/>
      <c r="Q14" s="56" t="s">
        <v>49</v>
      </c>
      <c r="R14" s="1"/>
      <c r="S14" s="29" t="s">
        <v>50</v>
      </c>
      <c r="T14" s="57"/>
      <c r="U14" s="57"/>
      <c r="V14" s="57"/>
      <c r="W14" s="1"/>
      <c r="X14" s="1"/>
      <c r="Y14" s="1"/>
      <c r="Z14" s="1"/>
      <c r="AA14" s="11"/>
      <c r="AB14" s="12"/>
      <c r="AC14" s="13"/>
      <c r="AD14" s="11"/>
      <c r="AE14" s="12"/>
      <c r="AF14" s="13"/>
      <c r="AG14" s="1"/>
      <c r="AH14" s="1"/>
      <c r="AI14" s="1"/>
      <c r="AJ14" s="1"/>
      <c r="AK14" s="1"/>
      <c r="AL14" s="1"/>
      <c r="AM14" s="1"/>
      <c r="AN14" s="1"/>
      <c r="AO14" s="28"/>
      <c r="AP14" s="3"/>
      <c r="AQ14" s="4"/>
    </row>
    <row r="15" ht="15.75" customHeight="1">
      <c r="B15" s="1"/>
      <c r="C15" s="14"/>
      <c r="E15" s="15"/>
      <c r="F15" s="14"/>
      <c r="G15" s="15"/>
      <c r="H15" s="1"/>
      <c r="I15" s="1"/>
      <c r="J15" s="1"/>
      <c r="K15" s="1"/>
      <c r="L15" s="1"/>
      <c r="M15" s="29" t="s">
        <v>50</v>
      </c>
      <c r="N15" s="58">
        <v>5.0</v>
      </c>
      <c r="O15" s="58"/>
      <c r="P15" s="59">
        <f t="shared" ref="P15:P22" si="3">(N15+O15)/2</f>
        <v>2.5</v>
      </c>
      <c r="Q15" s="48">
        <f t="shared" ref="Q15:Q22" si="4">P15/10</f>
        <v>0.25</v>
      </c>
      <c r="R15" s="1"/>
      <c r="S15" s="29" t="s">
        <v>51</v>
      </c>
      <c r="T15" s="29"/>
      <c r="U15" s="29"/>
      <c r="V15" s="29"/>
      <c r="W15" s="1"/>
      <c r="X15" s="1"/>
      <c r="Y15" s="1"/>
      <c r="Z15" s="1"/>
      <c r="AA15" s="26" t="s">
        <v>52</v>
      </c>
      <c r="AB15" s="6"/>
      <c r="AC15" s="7"/>
      <c r="AD15" s="27" t="s">
        <v>53</v>
      </c>
      <c r="AE15" s="6"/>
      <c r="AF15" s="7"/>
      <c r="AG15" s="1"/>
      <c r="AH15" s="1"/>
      <c r="AI15" s="1"/>
      <c r="AJ15" s="1"/>
      <c r="AK15" s="1"/>
      <c r="AL15" s="1"/>
      <c r="AM15" s="1"/>
      <c r="AN15" s="1"/>
    </row>
    <row r="16" ht="15.75" customHeight="1">
      <c r="B16" s="1"/>
      <c r="C16" s="11"/>
      <c r="D16" s="12"/>
      <c r="E16" s="13"/>
      <c r="F16" s="11"/>
      <c r="G16" s="13"/>
      <c r="H16" s="1"/>
      <c r="I16" s="1"/>
      <c r="J16" s="1"/>
      <c r="K16" s="1"/>
      <c r="L16" s="1"/>
      <c r="M16" s="29" t="s">
        <v>51</v>
      </c>
      <c r="N16" s="58">
        <v>2.0</v>
      </c>
      <c r="O16" s="58"/>
      <c r="P16" s="59">
        <f t="shared" si="3"/>
        <v>1</v>
      </c>
      <c r="Q16" s="48">
        <f t="shared" si="4"/>
        <v>0.1</v>
      </c>
      <c r="R16" s="1"/>
      <c r="S16" s="29" t="s">
        <v>54</v>
      </c>
      <c r="T16" s="29"/>
      <c r="U16" s="29"/>
      <c r="V16" s="29"/>
      <c r="W16" s="1"/>
      <c r="X16" s="1"/>
      <c r="Y16" s="1"/>
      <c r="Z16" s="1"/>
      <c r="AA16" s="11"/>
      <c r="AB16" s="12"/>
      <c r="AC16" s="13"/>
      <c r="AD16" s="11"/>
      <c r="AE16" s="12"/>
      <c r="AF16" s="13"/>
      <c r="AG16" s="1"/>
      <c r="AH16" s="1"/>
      <c r="AI16" s="1"/>
      <c r="AJ16" s="1"/>
      <c r="AK16" s="1"/>
      <c r="AL16" s="1"/>
      <c r="AM16" s="1"/>
      <c r="AN16" s="1"/>
    </row>
    <row r="17" ht="15.75" customHeight="1">
      <c r="B17" s="1"/>
      <c r="C17" s="53" t="s">
        <v>55</v>
      </c>
      <c r="D17" s="6"/>
      <c r="E17" s="7"/>
      <c r="F17" s="54"/>
      <c r="G17" s="7"/>
      <c r="H17" s="1"/>
      <c r="I17" s="1"/>
      <c r="J17" s="1"/>
      <c r="K17" s="1"/>
      <c r="L17" s="1"/>
      <c r="M17" s="29" t="s">
        <v>54</v>
      </c>
      <c r="N17" s="58">
        <v>7.0</v>
      </c>
      <c r="O17" s="58"/>
      <c r="P17" s="59">
        <f t="shared" si="3"/>
        <v>3.5</v>
      </c>
      <c r="Q17" s="48">
        <f t="shared" si="4"/>
        <v>0.35</v>
      </c>
      <c r="R17" s="1"/>
      <c r="S17" s="29" t="s">
        <v>56</v>
      </c>
      <c r="T17" s="29"/>
      <c r="U17" s="29"/>
      <c r="V17" s="29"/>
      <c r="W17" s="1"/>
      <c r="X17" s="1"/>
      <c r="Y17" s="1"/>
      <c r="Z17" s="1"/>
      <c r="AA17" s="26" t="s">
        <v>57</v>
      </c>
      <c r="AB17" s="6"/>
      <c r="AC17" s="7"/>
      <c r="AD17" s="27" t="s">
        <v>58</v>
      </c>
      <c r="AE17" s="6"/>
      <c r="AF17" s="7"/>
      <c r="AG17" s="1"/>
      <c r="AH17" s="1"/>
      <c r="AI17" s="1"/>
      <c r="AJ17" s="1"/>
      <c r="AK17" s="1"/>
      <c r="AL17" s="1"/>
      <c r="AM17" s="1"/>
      <c r="AN17" s="1"/>
    </row>
    <row r="18" ht="15.75" customHeight="1">
      <c r="B18" s="1"/>
      <c r="C18" s="14"/>
      <c r="E18" s="15"/>
      <c r="F18" s="14"/>
      <c r="G18" s="15"/>
      <c r="H18" s="1"/>
      <c r="I18" s="1"/>
      <c r="J18" s="1"/>
      <c r="K18" s="1"/>
      <c r="L18" s="1"/>
      <c r="M18" s="29" t="s">
        <v>56</v>
      </c>
      <c r="N18" s="58">
        <v>6.0</v>
      </c>
      <c r="O18" s="58"/>
      <c r="P18" s="59">
        <f t="shared" si="3"/>
        <v>3</v>
      </c>
      <c r="Q18" s="48">
        <f t="shared" si="4"/>
        <v>0.3</v>
      </c>
      <c r="R18" s="1"/>
      <c r="S18" s="29" t="s">
        <v>59</v>
      </c>
      <c r="T18" s="29"/>
      <c r="U18" s="29"/>
      <c r="V18" s="29"/>
      <c r="W18" s="1"/>
      <c r="X18" s="1"/>
      <c r="Y18" s="1"/>
      <c r="Z18" s="1"/>
      <c r="AA18" s="11"/>
      <c r="AB18" s="12"/>
      <c r="AC18" s="13"/>
      <c r="AD18" s="11"/>
      <c r="AE18" s="12"/>
      <c r="AF18" s="13"/>
      <c r="AG18" s="1"/>
      <c r="AH18" s="1"/>
      <c r="AI18" s="1"/>
      <c r="AJ18" s="1"/>
      <c r="AK18" s="1"/>
      <c r="AL18" s="1"/>
      <c r="AM18" s="1"/>
      <c r="AN18" s="1"/>
    </row>
    <row r="19" ht="15.75" customHeight="1">
      <c r="B19" s="1"/>
      <c r="C19" s="11"/>
      <c r="D19" s="12"/>
      <c r="E19" s="13"/>
      <c r="F19" s="11"/>
      <c r="G19" s="13"/>
      <c r="H19" s="1"/>
      <c r="I19" s="1"/>
      <c r="J19" s="1"/>
      <c r="K19" s="1"/>
      <c r="L19" s="1"/>
      <c r="M19" s="29" t="s">
        <v>59</v>
      </c>
      <c r="N19" s="58">
        <v>2.0</v>
      </c>
      <c r="O19" s="58"/>
      <c r="P19" s="59">
        <f t="shared" si="3"/>
        <v>1</v>
      </c>
      <c r="Q19" s="48">
        <f t="shared" si="4"/>
        <v>0.1</v>
      </c>
      <c r="R19" s="1"/>
      <c r="S19" s="29" t="s">
        <v>60</v>
      </c>
      <c r="T19" s="29"/>
      <c r="U19" s="29"/>
      <c r="V19" s="29"/>
      <c r="W19" s="1"/>
      <c r="X19" s="1"/>
      <c r="Y19" s="1"/>
      <c r="Z19" s="1"/>
      <c r="AA19" s="26" t="s">
        <v>61</v>
      </c>
      <c r="AB19" s="6"/>
      <c r="AC19" s="7"/>
      <c r="AD19" s="27" t="s">
        <v>62</v>
      </c>
      <c r="AE19" s="6"/>
      <c r="AF19" s="7"/>
      <c r="AG19" s="1"/>
      <c r="AH19" s="1"/>
      <c r="AI19" s="1"/>
      <c r="AJ19" s="1"/>
      <c r="AK19" s="1"/>
      <c r="AL19" s="1"/>
      <c r="AM19" s="1"/>
      <c r="AN19" s="1"/>
    </row>
    <row r="20" ht="15.75" customHeight="1">
      <c r="B20" s="1"/>
      <c r="C20" s="53" t="s">
        <v>63</v>
      </c>
      <c r="D20" s="6"/>
      <c r="E20" s="7"/>
      <c r="F20" s="60"/>
      <c r="G20" s="7"/>
      <c r="H20" s="1"/>
      <c r="I20" s="1"/>
      <c r="J20" s="1"/>
      <c r="K20" s="1"/>
      <c r="L20" s="1"/>
      <c r="M20" s="29" t="s">
        <v>60</v>
      </c>
      <c r="N20" s="58">
        <v>3.0</v>
      </c>
      <c r="O20" s="58"/>
      <c r="P20" s="59">
        <f t="shared" si="3"/>
        <v>1.5</v>
      </c>
      <c r="Q20" s="48">
        <f t="shared" si="4"/>
        <v>0.15</v>
      </c>
      <c r="R20" s="1"/>
      <c r="S20" s="29" t="s">
        <v>64</v>
      </c>
      <c r="T20" s="29"/>
      <c r="U20" s="29"/>
      <c r="V20" s="29"/>
      <c r="W20" s="1"/>
      <c r="X20" s="1"/>
      <c r="Y20" s="1"/>
      <c r="Z20" s="1"/>
      <c r="AA20" s="11"/>
      <c r="AB20" s="12"/>
      <c r="AC20" s="13"/>
      <c r="AD20" s="11"/>
      <c r="AE20" s="12"/>
      <c r="AF20" s="13"/>
      <c r="AG20" s="1"/>
      <c r="AH20" s="1"/>
      <c r="AI20" s="1"/>
      <c r="AJ20" s="1"/>
      <c r="AK20" s="1"/>
      <c r="AL20" s="1"/>
      <c r="AM20" s="1"/>
      <c r="AN20" s="1"/>
    </row>
    <row r="21" ht="15.75" customHeight="1">
      <c r="B21" s="1"/>
      <c r="C21" s="14"/>
      <c r="E21" s="15"/>
      <c r="F21" s="14"/>
      <c r="G21" s="15"/>
      <c r="H21" s="1"/>
      <c r="I21" s="1"/>
      <c r="J21" s="1"/>
      <c r="K21" s="1"/>
      <c r="L21" s="1"/>
      <c r="M21" s="29" t="s">
        <v>64</v>
      </c>
      <c r="N21" s="58">
        <v>10.0</v>
      </c>
      <c r="O21" s="58"/>
      <c r="P21" s="59">
        <f t="shared" si="3"/>
        <v>5</v>
      </c>
      <c r="Q21" s="48">
        <f t="shared" si="4"/>
        <v>0.5</v>
      </c>
      <c r="R21" s="1"/>
      <c r="S21" s="29" t="s">
        <v>65</v>
      </c>
      <c r="T21" s="29"/>
      <c r="U21" s="29"/>
      <c r="V21" s="29"/>
      <c r="W21" s="1"/>
      <c r="X21" s="1"/>
      <c r="Y21" s="1"/>
      <c r="Z21" s="1"/>
      <c r="AA21" s="26" t="s">
        <v>66</v>
      </c>
      <c r="AB21" s="6"/>
      <c r="AC21" s="7"/>
      <c r="AD21" s="27" t="s">
        <v>67</v>
      </c>
      <c r="AE21" s="6"/>
      <c r="AF21" s="7"/>
      <c r="AG21" s="1"/>
      <c r="AH21" s="1"/>
      <c r="AI21" s="1"/>
      <c r="AJ21" s="1"/>
      <c r="AK21" s="1"/>
      <c r="AL21" s="1"/>
      <c r="AM21" s="1"/>
      <c r="AN21" s="1"/>
    </row>
    <row r="22" ht="15.75" customHeight="1">
      <c r="B22" s="1"/>
      <c r="C22" s="11"/>
      <c r="D22" s="12"/>
      <c r="E22" s="13"/>
      <c r="F22" s="11"/>
      <c r="G22" s="13"/>
      <c r="H22" s="1"/>
      <c r="I22" s="1"/>
      <c r="J22" s="1"/>
      <c r="K22" s="1"/>
      <c r="L22" s="1"/>
      <c r="M22" s="29" t="s">
        <v>65</v>
      </c>
      <c r="N22" s="61">
        <v>4.0</v>
      </c>
      <c r="O22" s="61"/>
      <c r="P22" s="59">
        <f t="shared" si="3"/>
        <v>2</v>
      </c>
      <c r="Q22" s="48">
        <f t="shared" si="4"/>
        <v>0.2</v>
      </c>
      <c r="R22" s="1"/>
      <c r="S22" s="62" t="s">
        <v>68</v>
      </c>
      <c r="T22" s="52"/>
      <c r="U22" s="52"/>
      <c r="V22" s="52"/>
      <c r="W22" s="1"/>
      <c r="X22" s="1"/>
      <c r="Y22" s="1"/>
      <c r="Z22" s="1"/>
      <c r="AA22" s="11"/>
      <c r="AB22" s="12"/>
      <c r="AC22" s="13"/>
      <c r="AD22" s="11"/>
      <c r="AE22" s="12"/>
      <c r="AF22" s="13"/>
      <c r="AG22" s="1"/>
      <c r="AH22" s="1"/>
      <c r="AI22" s="1"/>
      <c r="AJ22" s="1"/>
      <c r="AK22" s="1"/>
      <c r="AL22" s="1"/>
      <c r="AM22" s="1"/>
      <c r="AN22" s="1"/>
    </row>
    <row r="23" ht="15.75" customHeight="1">
      <c r="B23" s="1"/>
      <c r="C23" s="53" t="s">
        <v>69</v>
      </c>
      <c r="D23" s="6"/>
      <c r="E23" s="7"/>
      <c r="F23" s="54"/>
      <c r="G23" s="7"/>
      <c r="H23" s="1"/>
      <c r="I23" s="1"/>
      <c r="J23" s="1"/>
      <c r="K23" s="1"/>
      <c r="L23" s="1"/>
      <c r="M23" s="63" t="s">
        <v>68</v>
      </c>
      <c r="N23" s="64"/>
      <c r="O23" s="3"/>
      <c r="P23" s="4"/>
      <c r="Q23" s="1"/>
      <c r="R23" s="1"/>
      <c r="S23" s="29" t="s">
        <v>70</v>
      </c>
      <c r="T23" s="29"/>
      <c r="U23" s="29"/>
      <c r="V23" s="29"/>
      <c r="W23" s="1"/>
      <c r="X23" s="65"/>
      <c r="Y23" s="1"/>
      <c r="Z23" s="1"/>
      <c r="AA23" s="10"/>
      <c r="AB23" s="3"/>
      <c r="AC23" s="3"/>
      <c r="AD23" s="3"/>
      <c r="AE23" s="3"/>
      <c r="AF23" s="4"/>
      <c r="AG23" s="1"/>
      <c r="AH23" s="1"/>
      <c r="AI23" s="1"/>
      <c r="AJ23" s="1"/>
      <c r="AK23" s="1"/>
      <c r="AL23" s="1"/>
      <c r="AM23" s="1"/>
      <c r="AN23" s="1"/>
    </row>
    <row r="24" ht="15.75" customHeight="1">
      <c r="B24" s="1"/>
      <c r="C24" s="14"/>
      <c r="E24" s="15"/>
      <c r="F24" s="14"/>
      <c r="G24" s="15"/>
      <c r="H24" s="1"/>
      <c r="I24" s="1"/>
      <c r="J24" s="1"/>
      <c r="K24" s="1"/>
      <c r="L24" s="1"/>
      <c r="M24" s="66"/>
      <c r="N24" s="67" t="s">
        <v>71</v>
      </c>
      <c r="O24" s="67" t="s">
        <v>49</v>
      </c>
      <c r="P24" s="67" t="s">
        <v>72</v>
      </c>
      <c r="Q24" s="1"/>
      <c r="R24" s="1"/>
      <c r="S24" s="29" t="s">
        <v>73</v>
      </c>
      <c r="T24" s="29"/>
      <c r="U24" s="29"/>
      <c r="V24" s="29"/>
      <c r="W24" s="1"/>
      <c r="X24" s="1"/>
      <c r="Y24" s="1"/>
      <c r="Z24" s="1"/>
      <c r="AA24" s="68" t="s">
        <v>74</v>
      </c>
      <c r="AB24" s="7"/>
      <c r="AC24" s="69" t="s">
        <v>75</v>
      </c>
      <c r="AD24" s="4"/>
      <c r="AE24" s="70">
        <f>1.162-(0.063*Q50)</f>
        <v>1.105105331</v>
      </c>
      <c r="AF24" s="4"/>
      <c r="AG24" s="1"/>
      <c r="AH24" s="1"/>
      <c r="AI24" s="1"/>
      <c r="AJ24" s="1"/>
      <c r="AK24" s="1"/>
      <c r="AL24" s="1"/>
      <c r="AM24" s="1"/>
      <c r="AN24" s="1"/>
    </row>
    <row r="25" ht="15.75" customHeight="1">
      <c r="B25" s="1"/>
      <c r="C25" s="11"/>
      <c r="D25" s="12"/>
      <c r="E25" s="13"/>
      <c r="F25" s="11"/>
      <c r="G25" s="13"/>
      <c r="H25" s="1"/>
      <c r="I25" s="1"/>
      <c r="J25" s="1"/>
      <c r="K25" s="1"/>
      <c r="L25" s="1"/>
      <c r="M25" s="71" t="s">
        <v>70</v>
      </c>
      <c r="N25" s="72">
        <v>56.0</v>
      </c>
      <c r="O25" s="73">
        <f t="shared" ref="O25:O29" si="5">N25/10</f>
        <v>5.6</v>
      </c>
      <c r="P25" s="74">
        <f t="shared" ref="P25:P29" si="6">N25/1000</f>
        <v>0.056</v>
      </c>
      <c r="Q25" s="1"/>
      <c r="R25" s="1"/>
      <c r="S25" s="29" t="s">
        <v>76</v>
      </c>
      <c r="T25" s="29"/>
      <c r="U25" s="29"/>
      <c r="V25" s="29"/>
      <c r="W25" s="1"/>
      <c r="X25" s="1"/>
      <c r="Y25" s="1"/>
      <c r="Z25" s="1"/>
      <c r="AA25" s="14"/>
      <c r="AB25" s="15"/>
      <c r="AC25" s="69" t="s">
        <v>77</v>
      </c>
      <c r="AD25" s="4"/>
      <c r="AE25" s="70">
        <f>1.1631-(0.0632*Q50)</f>
        <v>1.106024713</v>
      </c>
      <c r="AF25" s="4"/>
      <c r="AG25" s="1"/>
      <c r="AH25" s="1"/>
      <c r="AI25" s="1"/>
      <c r="AJ25" s="1"/>
      <c r="AK25" s="1"/>
      <c r="AL25" s="1"/>
      <c r="AM25" s="1"/>
      <c r="AN25" s="1"/>
    </row>
    <row r="26" ht="15.75" customHeight="1">
      <c r="B26" s="1"/>
      <c r="C26" s="10"/>
      <c r="D26" s="3"/>
      <c r="E26" s="3"/>
      <c r="F26" s="3"/>
      <c r="G26" s="4"/>
      <c r="H26" s="1"/>
      <c r="I26" s="1"/>
      <c r="J26" s="1"/>
      <c r="K26" s="1"/>
      <c r="L26" s="1"/>
      <c r="M26" s="29" t="s">
        <v>73</v>
      </c>
      <c r="N26" s="58">
        <v>85.0</v>
      </c>
      <c r="O26" s="73">
        <f t="shared" si="5"/>
        <v>8.5</v>
      </c>
      <c r="P26" s="74">
        <f t="shared" si="6"/>
        <v>0.085</v>
      </c>
      <c r="Q26" s="1"/>
      <c r="R26" s="1"/>
      <c r="S26" s="44" t="s">
        <v>78</v>
      </c>
      <c r="T26" s="29"/>
      <c r="U26" s="29"/>
      <c r="V26" s="29"/>
      <c r="W26" s="1"/>
      <c r="X26" s="1"/>
      <c r="Y26" s="1"/>
      <c r="Z26" s="1"/>
      <c r="AA26" s="14"/>
      <c r="AB26" s="15"/>
      <c r="AC26" s="69" t="s">
        <v>79</v>
      </c>
      <c r="AD26" s="4"/>
      <c r="AE26" s="70">
        <f>1.1422-(0.0544*Q50)</f>
        <v>1.093071905</v>
      </c>
      <c r="AF26" s="4"/>
      <c r="AG26" s="1"/>
      <c r="AH26" s="1"/>
      <c r="AI26" s="1"/>
      <c r="AJ26" s="1"/>
      <c r="AK26" s="1"/>
      <c r="AL26" s="1"/>
      <c r="AM26" s="33" t="s">
        <v>80</v>
      </c>
      <c r="AN26" s="39" t="s">
        <v>81</v>
      </c>
      <c r="AO26" s="47">
        <f>POWER(D12,1/3)</f>
        <v>4.160167646</v>
      </c>
    </row>
    <row r="27" ht="15.75" customHeight="1">
      <c r="B27" s="1"/>
      <c r="C27" s="75" t="s">
        <v>82</v>
      </c>
      <c r="D27" s="76">
        <f>D12/(G11*G11)</f>
        <v>21.49959688</v>
      </c>
      <c r="E27" s="6"/>
      <c r="F27" s="6"/>
      <c r="G27" s="7"/>
      <c r="H27" s="1"/>
      <c r="I27" s="1"/>
      <c r="J27" s="1"/>
      <c r="K27" s="1"/>
      <c r="L27" s="1"/>
      <c r="M27" s="29" t="s">
        <v>76</v>
      </c>
      <c r="N27" s="58">
        <v>40.0</v>
      </c>
      <c r="O27" s="73">
        <f t="shared" si="5"/>
        <v>4</v>
      </c>
      <c r="P27" s="74">
        <f t="shared" si="6"/>
        <v>0.04</v>
      </c>
      <c r="Q27" s="1"/>
      <c r="R27" s="1"/>
      <c r="S27" s="44" t="s">
        <v>83</v>
      </c>
      <c r="T27" s="29"/>
      <c r="U27" s="29"/>
      <c r="V27" s="29"/>
      <c r="W27" s="1"/>
      <c r="X27" s="1"/>
      <c r="Y27" s="1"/>
      <c r="Z27" s="1"/>
      <c r="AA27" s="14"/>
      <c r="AB27" s="15"/>
      <c r="AC27" s="69" t="s">
        <v>84</v>
      </c>
      <c r="AD27" s="4"/>
      <c r="AE27" s="70">
        <f>1.162-(0.07*Q50)</f>
        <v>1.098783701</v>
      </c>
      <c r="AF27" s="4"/>
      <c r="AG27" s="1"/>
      <c r="AH27" s="1"/>
      <c r="AI27" s="1"/>
      <c r="AJ27" s="1"/>
      <c r="AK27" s="1"/>
      <c r="AL27" s="1"/>
      <c r="AM27" s="38"/>
      <c r="AN27" s="39" t="s">
        <v>35</v>
      </c>
      <c r="AO27" s="47">
        <f>D11</f>
        <v>183</v>
      </c>
    </row>
    <row r="28" ht="15.75" customHeight="1">
      <c r="B28" s="1"/>
      <c r="C28" s="41"/>
      <c r="D28" s="11"/>
      <c r="E28" s="12"/>
      <c r="F28" s="12"/>
      <c r="G28" s="13"/>
      <c r="H28" s="1"/>
      <c r="I28" s="1"/>
      <c r="J28" s="1"/>
      <c r="K28" s="1"/>
      <c r="L28" s="1"/>
      <c r="M28" s="29" t="s">
        <v>78</v>
      </c>
      <c r="N28" s="57"/>
      <c r="O28" s="73">
        <f t="shared" si="5"/>
        <v>0</v>
      </c>
      <c r="P28" s="74">
        <f t="shared" si="6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4"/>
      <c r="AB28" s="15"/>
      <c r="AC28" s="69" t="s">
        <v>85</v>
      </c>
      <c r="AD28" s="4"/>
      <c r="AE28" s="70">
        <f>1.1715-(0.0779*Q50)</f>
        <v>1.10114929</v>
      </c>
      <c r="AF28" s="4"/>
      <c r="AG28" s="1"/>
      <c r="AH28" s="1"/>
      <c r="AI28" s="1"/>
      <c r="AJ28" s="1"/>
      <c r="AK28" s="1"/>
      <c r="AL28" s="1"/>
      <c r="AM28" s="38"/>
      <c r="AN28" s="77" t="s">
        <v>86</v>
      </c>
      <c r="AO28" s="35">
        <f>AO27/AO26</f>
        <v>43.98861189</v>
      </c>
    </row>
    <row r="29" ht="15.75" customHeight="1">
      <c r="B29" s="1"/>
      <c r="C29" s="78" t="s">
        <v>87</v>
      </c>
      <c r="D29" s="53" t="s">
        <v>88</v>
      </c>
      <c r="E29" s="6"/>
      <c r="F29" s="6"/>
      <c r="G29" s="7"/>
      <c r="H29" s="1"/>
      <c r="I29" s="1"/>
      <c r="J29" s="1"/>
      <c r="K29" s="1"/>
      <c r="L29" s="1"/>
      <c r="M29" s="79" t="s">
        <v>83</v>
      </c>
      <c r="N29" s="80"/>
      <c r="O29" s="81">
        <f t="shared" si="5"/>
        <v>0</v>
      </c>
      <c r="P29" s="82">
        <f t="shared" si="6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4"/>
      <c r="AB29" s="15"/>
      <c r="AC29" s="83" t="s">
        <v>89</v>
      </c>
      <c r="AD29" s="6"/>
      <c r="AE29" s="7"/>
      <c r="AF29" s="84">
        <f>D10</f>
        <v>25</v>
      </c>
      <c r="AG29" s="1"/>
      <c r="AH29" s="1"/>
      <c r="AI29" s="1"/>
      <c r="AJ29" s="1"/>
      <c r="AK29" s="1"/>
      <c r="AL29" s="1"/>
      <c r="AM29" s="38"/>
      <c r="AN29" s="85"/>
      <c r="AO29" s="86"/>
    </row>
    <row r="30" ht="15.75" customHeight="1">
      <c r="B30" s="1"/>
      <c r="C30" s="41"/>
      <c r="D30" s="11"/>
      <c r="E30" s="12"/>
      <c r="F30" s="12"/>
      <c r="G30" s="13"/>
      <c r="H30" s="1"/>
      <c r="I30" s="1"/>
      <c r="J30" s="1"/>
      <c r="K30" s="1"/>
      <c r="L30" s="1"/>
      <c r="M30" s="87" t="s">
        <v>90</v>
      </c>
      <c r="N30" s="88" t="str">
        <f>N28/N29</f>
        <v>#DIV/0!</v>
      </c>
      <c r="O30" s="3"/>
      <c r="P30" s="4"/>
      <c r="Q30" s="1"/>
      <c r="R30" s="1"/>
      <c r="S30" s="1"/>
      <c r="T30" s="1"/>
      <c r="U30" s="1"/>
      <c r="V30" s="1"/>
      <c r="W30" s="1"/>
      <c r="X30" s="1"/>
      <c r="Y30" s="1"/>
      <c r="Z30" s="1"/>
      <c r="AA30" s="11"/>
      <c r="AB30" s="13"/>
      <c r="AC30" s="11"/>
      <c r="AD30" s="12"/>
      <c r="AE30" s="13"/>
      <c r="AF30" s="41"/>
      <c r="AG30" s="1"/>
      <c r="AH30" s="1"/>
      <c r="AI30" s="1"/>
      <c r="AJ30" s="1"/>
      <c r="AK30" s="1"/>
      <c r="AL30" s="1"/>
      <c r="AM30" s="38"/>
      <c r="AN30" s="36" t="s">
        <v>91</v>
      </c>
      <c r="AO30" s="47">
        <f>(0.732*AO28)-28.58</f>
        <v>3.619663907</v>
      </c>
    </row>
    <row r="31" ht="15.75" customHeight="1">
      <c r="B31" s="1"/>
      <c r="C31" s="89" t="s">
        <v>92</v>
      </c>
      <c r="D31" s="90" t="s">
        <v>93</v>
      </c>
      <c r="E31" s="91" t="s">
        <v>94</v>
      </c>
      <c r="F31" s="6"/>
      <c r="G31" s="7"/>
      <c r="H31" s="1"/>
      <c r="I31" s="1"/>
      <c r="J31" s="1"/>
      <c r="K31" s="1"/>
      <c r="L31" s="1"/>
      <c r="M31" s="92"/>
      <c r="N31" s="93"/>
      <c r="O31" s="93"/>
      <c r="P31" s="93"/>
      <c r="Q31" s="93"/>
      <c r="R31" s="93"/>
      <c r="S31" s="1"/>
      <c r="T31" s="1"/>
      <c r="U31" s="1"/>
      <c r="V31" s="1"/>
      <c r="W31" s="1"/>
      <c r="X31" s="1"/>
      <c r="Y31" s="1"/>
      <c r="Z31" s="1"/>
      <c r="AA31" s="94" t="s">
        <v>95</v>
      </c>
      <c r="AB31" s="6"/>
      <c r="AC31" s="6"/>
      <c r="AD31" s="95">
        <v>1.0795</v>
      </c>
      <c r="AE31" s="6"/>
      <c r="AF31" s="7"/>
      <c r="AG31" s="1"/>
      <c r="AH31" s="1"/>
      <c r="AI31" s="1"/>
      <c r="AJ31" s="1"/>
      <c r="AK31" s="1"/>
      <c r="AL31" s="1"/>
      <c r="AM31" s="38"/>
      <c r="AN31" s="39" t="s">
        <v>96</v>
      </c>
      <c r="AO31" s="47">
        <f>(0.463*AO28)-17.63</f>
        <v>2.736727307</v>
      </c>
    </row>
    <row r="32" ht="15.75" customHeight="1">
      <c r="B32" s="1"/>
      <c r="C32" s="38"/>
      <c r="D32" s="13"/>
      <c r="E32" s="11"/>
      <c r="F32" s="12"/>
      <c r="G32" s="13"/>
      <c r="H32" s="1"/>
      <c r="I32" s="1"/>
      <c r="J32" s="1"/>
      <c r="K32" s="1"/>
      <c r="L32" s="1"/>
      <c r="M32" s="96"/>
      <c r="N32" s="12"/>
      <c r="O32" s="12"/>
      <c r="P32" s="12"/>
      <c r="Q32" s="12"/>
      <c r="R32" s="12"/>
      <c r="S32" s="1"/>
      <c r="T32" s="1"/>
      <c r="U32" s="1"/>
      <c r="V32" s="1"/>
      <c r="W32" s="1"/>
      <c r="X32" s="1"/>
      <c r="Y32" s="1"/>
      <c r="Z32" s="1"/>
      <c r="AA32" s="97"/>
      <c r="AD32" s="14"/>
      <c r="AF32" s="15"/>
      <c r="AG32" s="1"/>
      <c r="AH32" s="1"/>
      <c r="AI32" s="1"/>
      <c r="AJ32" s="1"/>
      <c r="AK32" s="1"/>
      <c r="AL32" s="1"/>
      <c r="AM32" s="41"/>
      <c r="AN32" s="39" t="s">
        <v>97</v>
      </c>
      <c r="AO32" s="50">
        <v>0.1</v>
      </c>
    </row>
    <row r="33" ht="15.75" customHeight="1">
      <c r="B33" s="1"/>
      <c r="C33" s="38"/>
      <c r="D33" s="98"/>
      <c r="E33" s="99"/>
      <c r="F33" s="3"/>
      <c r="G33" s="4"/>
      <c r="H33" s="1"/>
      <c r="I33" s="1"/>
      <c r="J33" s="1"/>
      <c r="K33" s="1"/>
      <c r="L33" s="1"/>
      <c r="M33" s="100" t="s">
        <v>98</v>
      </c>
      <c r="N33" s="6"/>
      <c r="O33" s="6"/>
      <c r="P33" s="6"/>
      <c r="Q33" s="6"/>
      <c r="R33" s="7"/>
      <c r="S33" s="1"/>
      <c r="T33" s="1"/>
      <c r="U33" s="1"/>
      <c r="V33" s="1"/>
      <c r="W33" s="1"/>
      <c r="X33" s="1"/>
      <c r="Y33" s="1"/>
      <c r="Z33" s="1"/>
      <c r="AA33" s="97"/>
      <c r="AD33" s="11"/>
      <c r="AE33" s="12"/>
      <c r="AF33" s="13"/>
      <c r="AG33" s="1"/>
      <c r="AH33" s="1"/>
      <c r="AI33" s="1"/>
      <c r="AJ33" s="1"/>
      <c r="AK33" s="1"/>
      <c r="AL33" s="1"/>
      <c r="AM33" s="101" t="s">
        <v>99</v>
      </c>
      <c r="AN33" s="6"/>
      <c r="AO33" s="7"/>
    </row>
    <row r="34" ht="15.75" customHeight="1">
      <c r="B34" s="1"/>
      <c r="C34" s="38"/>
      <c r="D34" s="102">
        <v>18.2</v>
      </c>
      <c r="E34" s="91" t="s">
        <v>100</v>
      </c>
      <c r="F34" s="6"/>
      <c r="G34" s="7"/>
      <c r="H34" s="1"/>
      <c r="I34" s="1"/>
      <c r="J34" s="1"/>
      <c r="K34" s="1"/>
      <c r="L34" s="1"/>
      <c r="M34" s="11"/>
      <c r="N34" s="12"/>
      <c r="O34" s="12"/>
      <c r="P34" s="12"/>
      <c r="Q34" s="12"/>
      <c r="R34" s="13"/>
      <c r="S34" s="1"/>
      <c r="T34" s="1"/>
      <c r="U34" s="1"/>
      <c r="V34" s="1"/>
      <c r="W34" s="1"/>
      <c r="X34" s="1"/>
      <c r="Y34" s="1"/>
      <c r="Z34" s="1"/>
      <c r="AA34" s="92"/>
      <c r="AB34" s="93"/>
      <c r="AC34" s="93"/>
      <c r="AD34" s="93"/>
      <c r="AE34" s="93"/>
      <c r="AF34" s="93"/>
      <c r="AG34" s="1"/>
      <c r="AH34" s="1"/>
      <c r="AI34" s="1"/>
      <c r="AJ34" s="1"/>
      <c r="AK34" s="1"/>
      <c r="AL34" s="1"/>
      <c r="AM34" s="11"/>
      <c r="AN34" s="12"/>
      <c r="AO34" s="13"/>
    </row>
    <row r="35" ht="15.75" customHeight="1">
      <c r="B35" s="1"/>
      <c r="C35" s="38"/>
      <c r="D35" s="13"/>
      <c r="E35" s="11"/>
      <c r="F35" s="12"/>
      <c r="G35" s="13"/>
      <c r="H35" s="1"/>
      <c r="I35" s="1"/>
      <c r="J35" s="1"/>
      <c r="K35" s="1"/>
      <c r="L35" s="1"/>
      <c r="M35" s="103"/>
      <c r="N35" s="3"/>
      <c r="O35" s="3"/>
      <c r="P35" s="3"/>
      <c r="Q35" s="3"/>
      <c r="R35" s="3"/>
      <c r="S35" s="1"/>
      <c r="T35" s="1"/>
      <c r="U35" s="1"/>
      <c r="V35" s="1"/>
      <c r="W35" s="1"/>
      <c r="X35" s="1"/>
      <c r="Y35" s="1"/>
      <c r="Z35" s="1"/>
      <c r="AA35" s="97"/>
      <c r="AG35" s="1"/>
      <c r="AH35" s="1"/>
      <c r="AI35" s="1"/>
      <c r="AJ35" s="1"/>
      <c r="AK35" s="1"/>
      <c r="AL35" s="1"/>
      <c r="AM35" s="104" t="s">
        <v>101</v>
      </c>
      <c r="AN35" s="105">
        <f>-0.7182+(0.1451*AQ6)-(0.00068*AQ7)+(0.0000014*AQ8)</f>
        <v>0.261209485</v>
      </c>
      <c r="AO35" s="7"/>
    </row>
    <row r="36" ht="15.75" customHeight="1">
      <c r="B36" s="1"/>
      <c r="C36" s="38"/>
      <c r="D36" s="102" t="s">
        <v>102</v>
      </c>
      <c r="E36" s="91" t="s">
        <v>88</v>
      </c>
      <c r="F36" s="6"/>
      <c r="G36" s="7"/>
      <c r="H36" s="1"/>
      <c r="I36" s="1"/>
      <c r="J36" s="1"/>
      <c r="K36" s="1"/>
      <c r="L36" s="1"/>
      <c r="M36" s="106" t="s">
        <v>103</v>
      </c>
      <c r="N36" s="107">
        <f>D11/P8</f>
        <v>26.14285714</v>
      </c>
      <c r="O36" s="7"/>
      <c r="P36" s="108" t="s">
        <v>104</v>
      </c>
      <c r="Q36" s="6"/>
      <c r="R36" s="7"/>
      <c r="S36" s="1"/>
      <c r="T36" s="1"/>
      <c r="U36" s="1"/>
      <c r="V36" s="1"/>
      <c r="W36" s="1"/>
      <c r="X36" s="1"/>
      <c r="Y36" s="1"/>
      <c r="Z36" s="1"/>
      <c r="AA36" s="109" t="s">
        <v>105</v>
      </c>
      <c r="AB36" s="7"/>
      <c r="AC36" s="110" t="s">
        <v>93</v>
      </c>
      <c r="AD36" s="7"/>
      <c r="AE36" s="105">
        <f>((4.95/AD31)-4.5)*100</f>
        <v>8.545622974</v>
      </c>
      <c r="AF36" s="7"/>
      <c r="AG36" s="1"/>
      <c r="AH36" s="1"/>
      <c r="AI36" s="1"/>
      <c r="AJ36" s="1"/>
      <c r="AK36" s="1"/>
      <c r="AL36" s="1"/>
      <c r="AM36" s="38"/>
      <c r="AN36" s="14"/>
      <c r="AO36" s="15"/>
    </row>
    <row r="37" ht="15.75" customHeight="1">
      <c r="B37" s="1"/>
      <c r="C37" s="38"/>
      <c r="D37" s="13"/>
      <c r="E37" s="11"/>
      <c r="F37" s="12"/>
      <c r="G37" s="13"/>
      <c r="H37" s="1"/>
      <c r="I37" s="1"/>
      <c r="J37" s="1"/>
      <c r="K37" s="1"/>
      <c r="L37" s="1"/>
      <c r="M37" s="38"/>
      <c r="N37" s="14"/>
      <c r="O37" s="15"/>
      <c r="P37" s="14"/>
      <c r="R37" s="15"/>
      <c r="S37" s="1"/>
      <c r="T37" s="1"/>
      <c r="U37" s="1"/>
      <c r="V37" s="1"/>
      <c r="W37" s="1"/>
      <c r="X37" s="1"/>
      <c r="Y37" s="1"/>
      <c r="Z37" s="1"/>
      <c r="AA37" s="14"/>
      <c r="AB37" s="15"/>
      <c r="AC37" s="11"/>
      <c r="AD37" s="13"/>
      <c r="AE37" s="11"/>
      <c r="AF37" s="13"/>
      <c r="AG37" s="1"/>
      <c r="AH37" s="1"/>
      <c r="AI37" s="1"/>
      <c r="AJ37" s="1"/>
      <c r="AK37" s="1"/>
      <c r="AL37" s="1"/>
      <c r="AM37" s="41"/>
      <c r="AN37" s="11"/>
      <c r="AO37" s="13"/>
    </row>
    <row r="38" ht="15.75" customHeight="1">
      <c r="B38" s="1"/>
      <c r="C38" s="38"/>
      <c r="D38" s="102" t="s">
        <v>106</v>
      </c>
      <c r="E38" s="91" t="s">
        <v>107</v>
      </c>
      <c r="F38" s="6"/>
      <c r="G38" s="7"/>
      <c r="H38" s="1"/>
      <c r="I38" s="1"/>
      <c r="J38" s="1"/>
      <c r="K38" s="1"/>
      <c r="L38" s="1"/>
      <c r="M38" s="41"/>
      <c r="N38" s="11"/>
      <c r="O38" s="13"/>
      <c r="P38" s="11"/>
      <c r="Q38" s="12"/>
      <c r="R38" s="13"/>
      <c r="S38" s="1"/>
      <c r="T38" s="1"/>
      <c r="U38" s="1"/>
      <c r="V38" s="1"/>
      <c r="W38" s="1"/>
      <c r="X38" s="1"/>
      <c r="Y38" s="1"/>
      <c r="Z38" s="1"/>
      <c r="AA38" s="14"/>
      <c r="AB38" s="15"/>
      <c r="AC38" s="110" t="s">
        <v>108</v>
      </c>
      <c r="AD38" s="7"/>
      <c r="AE38" s="111">
        <f>(AE36*D12)/100</f>
        <v>6.152848541</v>
      </c>
      <c r="AF38" s="7"/>
      <c r="AG38" s="1"/>
      <c r="AH38" s="1"/>
      <c r="AI38" s="1"/>
      <c r="AJ38" s="1"/>
      <c r="AK38" s="1"/>
      <c r="AL38" s="1"/>
      <c r="AM38" s="112" t="s">
        <v>109</v>
      </c>
      <c r="AN38" s="105">
        <f>(0.858*AQ10)+(0.601*AQ11)+(0.188*AQ12)+(0.161*AQ13)-(AO27*0.131)+4.5</f>
        <v>-0.6387</v>
      </c>
      <c r="AO38" s="7"/>
    </row>
    <row r="39" ht="15.75" customHeight="1">
      <c r="B39" s="1"/>
      <c r="C39" s="38"/>
      <c r="D39" s="13"/>
      <c r="E39" s="11"/>
      <c r="F39" s="12"/>
      <c r="G39" s="13"/>
      <c r="H39" s="1"/>
      <c r="I39" s="1"/>
      <c r="J39" s="1"/>
      <c r="K39" s="1"/>
      <c r="L39" s="1"/>
      <c r="M39" s="113" t="s">
        <v>110</v>
      </c>
      <c r="N39" s="114">
        <f>P9</f>
        <v>38.5</v>
      </c>
      <c r="O39" s="7"/>
      <c r="P39" s="115" t="s">
        <v>111</v>
      </c>
      <c r="Q39" s="6"/>
      <c r="R39" s="7"/>
      <c r="S39" s="1"/>
      <c r="T39" s="1"/>
      <c r="U39" s="1"/>
      <c r="V39" s="1"/>
      <c r="W39" s="1"/>
      <c r="X39" s="1"/>
      <c r="Y39" s="1"/>
      <c r="Z39" s="1"/>
      <c r="AA39" s="11"/>
      <c r="AB39" s="13"/>
      <c r="AC39" s="11"/>
      <c r="AD39" s="13"/>
      <c r="AE39" s="11"/>
      <c r="AF39" s="13"/>
      <c r="AG39" s="1"/>
      <c r="AH39" s="1"/>
      <c r="AI39" s="1"/>
      <c r="AJ39" s="1"/>
      <c r="AK39" s="1"/>
      <c r="AL39" s="1"/>
      <c r="AM39" s="38"/>
      <c r="AN39" s="14"/>
      <c r="AO39" s="15"/>
    </row>
    <row r="40" ht="15.75" customHeight="1">
      <c r="B40" s="1"/>
      <c r="C40" s="38"/>
      <c r="D40" s="102" t="s">
        <v>112</v>
      </c>
      <c r="E40" s="91" t="s">
        <v>113</v>
      </c>
      <c r="F40" s="6"/>
      <c r="G40" s="7"/>
      <c r="H40" s="1"/>
      <c r="I40" s="1"/>
      <c r="J40" s="1"/>
      <c r="K40" s="1"/>
      <c r="L40" s="1"/>
      <c r="M40" s="38"/>
      <c r="N40" s="14"/>
      <c r="O40" s="15"/>
      <c r="P40" s="14"/>
      <c r="R40" s="15"/>
      <c r="S40" s="1"/>
      <c r="T40" s="1"/>
      <c r="U40" s="1"/>
      <c r="V40" s="1"/>
      <c r="W40" s="1"/>
      <c r="X40" s="1"/>
      <c r="Y40" s="1"/>
      <c r="Z40" s="1"/>
      <c r="AA40" s="116" t="s">
        <v>114</v>
      </c>
      <c r="AB40" s="7"/>
      <c r="AC40" s="110" t="s">
        <v>93</v>
      </c>
      <c r="AD40" s="7"/>
      <c r="AE40" s="105">
        <f>(AE42*100)/D12</f>
        <v>12.34481259</v>
      </c>
      <c r="AF40" s="7"/>
      <c r="AG40" s="117" t="s">
        <v>115</v>
      </c>
      <c r="AH40" s="7"/>
      <c r="AI40" s="118">
        <f>AE42*5</f>
        <v>44.44132531</v>
      </c>
      <c r="AJ40" s="1"/>
      <c r="AK40" s="1"/>
      <c r="AL40" s="1"/>
      <c r="AM40" s="41"/>
      <c r="AN40" s="11"/>
      <c r="AO40" s="13"/>
      <c r="AP40" s="1"/>
      <c r="AQ40" s="1"/>
    </row>
    <row r="41" ht="15.75" customHeight="1">
      <c r="B41" s="1"/>
      <c r="C41" s="38"/>
      <c r="D41" s="13"/>
      <c r="E41" s="11"/>
      <c r="F41" s="12"/>
      <c r="G41" s="13"/>
      <c r="H41" s="1"/>
      <c r="I41" s="1"/>
      <c r="J41" s="1"/>
      <c r="K41" s="1"/>
      <c r="L41" s="1"/>
      <c r="M41" s="41"/>
      <c r="N41" s="11"/>
      <c r="O41" s="13"/>
      <c r="P41" s="11"/>
      <c r="Q41" s="12"/>
      <c r="R41" s="13"/>
      <c r="S41" s="1"/>
      <c r="T41" s="1"/>
      <c r="U41" s="1"/>
      <c r="V41" s="1"/>
      <c r="W41" s="1"/>
      <c r="X41" s="1"/>
      <c r="Y41" s="1"/>
      <c r="Z41" s="1"/>
      <c r="AA41" s="14"/>
      <c r="AB41" s="15"/>
      <c r="AC41" s="11"/>
      <c r="AD41" s="13"/>
      <c r="AE41" s="11"/>
      <c r="AF41" s="13"/>
      <c r="AG41" s="14"/>
      <c r="AH41" s="15"/>
      <c r="AI41" s="38"/>
      <c r="AJ41" s="1"/>
      <c r="AK41" s="1"/>
      <c r="AL41" s="1"/>
      <c r="AM41" s="119" t="s">
        <v>116</v>
      </c>
      <c r="AN41" s="120">
        <v>2.8</v>
      </c>
      <c r="AO41" s="7"/>
      <c r="AP41" s="1"/>
      <c r="AQ41" s="1"/>
    </row>
    <row r="42" ht="15.75" customHeight="1">
      <c r="B42" s="1"/>
      <c r="C42" s="38"/>
      <c r="D42" s="102" t="s">
        <v>117</v>
      </c>
      <c r="E42" s="91" t="s">
        <v>118</v>
      </c>
      <c r="F42" s="6"/>
      <c r="G42" s="7"/>
      <c r="H42" s="1"/>
      <c r="I42" s="1"/>
      <c r="J42" s="1"/>
      <c r="K42" s="1"/>
      <c r="L42" s="1"/>
      <c r="M42" s="121" t="s">
        <v>119</v>
      </c>
      <c r="N42" s="122">
        <f>P9/P10</f>
        <v>0.8105263158</v>
      </c>
      <c r="O42" s="7"/>
      <c r="P42" s="115" t="s">
        <v>120</v>
      </c>
      <c r="Q42" s="6"/>
      <c r="R42" s="7"/>
      <c r="S42" s="1"/>
      <c r="T42" s="1"/>
      <c r="U42" s="1"/>
      <c r="V42" s="1"/>
      <c r="W42" s="1"/>
      <c r="X42" s="1"/>
      <c r="Y42" s="1"/>
      <c r="Z42" s="1"/>
      <c r="AA42" s="14"/>
      <c r="AB42" s="15"/>
      <c r="AC42" s="110" t="s">
        <v>108</v>
      </c>
      <c r="AD42" s="7"/>
      <c r="AE42" s="111">
        <f>3.02*((G11*G11)*P27*P26*400)^0.712</f>
        <v>8.888265063</v>
      </c>
      <c r="AF42" s="7"/>
      <c r="AG42" s="14"/>
      <c r="AH42" s="15"/>
      <c r="AI42" s="38"/>
      <c r="AJ42" s="1"/>
      <c r="AK42" s="1"/>
      <c r="AL42" s="1"/>
      <c r="AM42" s="38"/>
      <c r="AN42" s="14"/>
      <c r="AO42" s="15"/>
      <c r="AP42" s="1"/>
      <c r="AQ42" s="1"/>
    </row>
    <row r="43" ht="15.75" customHeight="1">
      <c r="B43" s="1"/>
      <c r="C43" s="38"/>
      <c r="D43" s="13"/>
      <c r="E43" s="11"/>
      <c r="F43" s="12"/>
      <c r="G43" s="13"/>
      <c r="H43" s="1"/>
      <c r="I43" s="1"/>
      <c r="J43" s="1"/>
      <c r="K43" s="1"/>
      <c r="L43" s="1"/>
      <c r="M43" s="38"/>
      <c r="N43" s="14"/>
      <c r="O43" s="15"/>
      <c r="P43" s="14"/>
      <c r="R43" s="15"/>
      <c r="S43" s="1"/>
      <c r="T43" s="1"/>
      <c r="U43" s="1"/>
      <c r="V43" s="1"/>
      <c r="W43" s="1"/>
      <c r="X43" s="1"/>
      <c r="Y43" s="1"/>
      <c r="Z43" s="1"/>
      <c r="AA43" s="11"/>
      <c r="AB43" s="13"/>
      <c r="AC43" s="11"/>
      <c r="AD43" s="13"/>
      <c r="AE43" s="11"/>
      <c r="AF43" s="13"/>
      <c r="AG43" s="11"/>
      <c r="AH43" s="13"/>
      <c r="AI43" s="41"/>
      <c r="AJ43" s="1"/>
      <c r="AK43" s="1"/>
      <c r="AL43" s="1"/>
      <c r="AM43" s="41"/>
      <c r="AN43" s="11"/>
      <c r="AO43" s="13"/>
      <c r="AP43" s="1"/>
      <c r="AQ43" s="1"/>
    </row>
    <row r="44" ht="15.75" customHeight="1">
      <c r="B44" s="1"/>
      <c r="C44" s="38"/>
      <c r="D44" s="102" t="s">
        <v>121</v>
      </c>
      <c r="E44" s="91" t="s">
        <v>122</v>
      </c>
      <c r="F44" s="6"/>
      <c r="G44" s="7"/>
      <c r="H44" s="1"/>
      <c r="I44" s="1"/>
      <c r="J44" s="1"/>
      <c r="K44" s="1"/>
      <c r="L44" s="1"/>
      <c r="M44" s="41"/>
      <c r="N44" s="11"/>
      <c r="O44" s="13"/>
      <c r="P44" s="11"/>
      <c r="Q44" s="12"/>
      <c r="R44" s="13"/>
      <c r="S44" s="1"/>
      <c r="T44" s="1"/>
      <c r="U44" s="1"/>
      <c r="V44" s="1"/>
      <c r="W44" s="1"/>
      <c r="X44" s="1"/>
      <c r="Y44" s="1"/>
      <c r="Z44" s="1"/>
      <c r="AA44" s="123" t="s">
        <v>123</v>
      </c>
      <c r="AB44" s="7"/>
      <c r="AC44" s="110" t="s">
        <v>93</v>
      </c>
      <c r="AD44" s="7"/>
      <c r="AE44" s="124">
        <f>(AE46*100)/D12</f>
        <v>24.1</v>
      </c>
      <c r="AF44" s="7"/>
      <c r="AG44" s="1"/>
      <c r="AH44" s="1"/>
      <c r="AI44" s="1"/>
      <c r="AJ44" s="1"/>
      <c r="AK44" s="1"/>
      <c r="AL44" s="1"/>
      <c r="AM44" s="85"/>
      <c r="AN44" s="125"/>
      <c r="AO44" s="86"/>
      <c r="AP44" s="1"/>
      <c r="AQ44" s="1"/>
    </row>
    <row r="45" ht="15.75" customHeight="1">
      <c r="B45" s="1"/>
      <c r="C45" s="41"/>
      <c r="D45" s="13"/>
      <c r="E45" s="11"/>
      <c r="F45" s="12"/>
      <c r="G45" s="13"/>
      <c r="H45" s="1"/>
      <c r="I45" s="1"/>
      <c r="J45" s="1"/>
      <c r="K45" s="1"/>
      <c r="L45" s="1"/>
      <c r="M45" s="126"/>
      <c r="N45" s="126"/>
      <c r="O45" s="126"/>
      <c r="P45" s="126"/>
      <c r="Q45" s="126"/>
      <c r="R45" s="126"/>
      <c r="S45" s="1"/>
      <c r="T45" s="1"/>
      <c r="U45" s="1"/>
      <c r="V45" s="1"/>
      <c r="W45" s="1"/>
      <c r="X45" s="1"/>
      <c r="Y45" s="1"/>
      <c r="Z45" s="1"/>
      <c r="AA45" s="14"/>
      <c r="AB45" s="15"/>
      <c r="AC45" s="11"/>
      <c r="AD45" s="13"/>
      <c r="AE45" s="11"/>
      <c r="AF45" s="13"/>
      <c r="AG45" s="1"/>
      <c r="AH45" s="1"/>
      <c r="AI45" s="1"/>
      <c r="AJ45" s="1"/>
      <c r="AK45" s="1"/>
      <c r="AL45" s="1"/>
      <c r="AM45" s="127" t="s">
        <v>124</v>
      </c>
      <c r="AN45" s="3"/>
      <c r="AO45" s="4"/>
      <c r="AP45" s="1"/>
      <c r="AQ45" s="1"/>
    </row>
    <row r="46" ht="15.75" customHeight="1">
      <c r="B46" s="1"/>
      <c r="C46" s="128"/>
      <c r="D46" s="6"/>
      <c r="E46" s="6"/>
      <c r="F46" s="6"/>
      <c r="G46" s="7"/>
      <c r="H46" s="1"/>
      <c r="I46" s="1"/>
      <c r="J46" s="1"/>
      <c r="K46" s="1"/>
      <c r="L46" s="1"/>
      <c r="M46" s="129"/>
      <c r="N46" s="129"/>
      <c r="O46" s="129"/>
      <c r="P46" s="129"/>
      <c r="Q46" s="129"/>
      <c r="R46" s="129"/>
      <c r="S46" s="1"/>
      <c r="T46" s="1"/>
      <c r="U46" s="1"/>
      <c r="V46" s="1"/>
      <c r="W46" s="1"/>
      <c r="X46" s="1"/>
      <c r="Y46" s="1"/>
      <c r="Z46" s="1"/>
      <c r="AA46" s="14"/>
      <c r="AB46" s="15"/>
      <c r="AC46" s="110" t="s">
        <v>108</v>
      </c>
      <c r="AD46" s="7"/>
      <c r="AE46" s="105">
        <f>(D12*24.1)/100</f>
        <v>17.352</v>
      </c>
      <c r="AF46" s="7"/>
      <c r="AG46" s="1"/>
      <c r="AH46" s="1"/>
      <c r="AI46" s="1"/>
      <c r="AJ46" s="1"/>
      <c r="AK46" s="1"/>
      <c r="AL46" s="1"/>
      <c r="AM46" s="130" t="s">
        <v>125</v>
      </c>
      <c r="AN46" s="7"/>
      <c r="AO46" s="131">
        <f>AN41-AN35</f>
        <v>2.538790515</v>
      </c>
      <c r="AP46" s="1"/>
      <c r="AQ46" s="1"/>
    </row>
    <row r="47" ht="15.75" customHeight="1">
      <c r="B47" s="1"/>
      <c r="C47" s="132"/>
      <c r="H47" s="1"/>
      <c r="I47" s="1"/>
      <c r="J47" s="1"/>
      <c r="K47" s="1"/>
      <c r="L47" s="1"/>
      <c r="M47" s="133" t="s">
        <v>126</v>
      </c>
      <c r="N47" s="6"/>
      <c r="O47" s="6"/>
      <c r="P47" s="7"/>
      <c r="Q47" s="134">
        <f>P16+P15+P19+P17</f>
        <v>8</v>
      </c>
      <c r="R47" s="7"/>
      <c r="S47" s="1"/>
      <c r="T47" s="1"/>
      <c r="U47" s="1"/>
      <c r="V47" s="1"/>
      <c r="W47" s="1"/>
      <c r="X47" s="1"/>
      <c r="Y47" s="1"/>
      <c r="Z47" s="1"/>
      <c r="AA47" s="11"/>
      <c r="AB47" s="13"/>
      <c r="AC47" s="11"/>
      <c r="AD47" s="13"/>
      <c r="AE47" s="11"/>
      <c r="AF47" s="13"/>
      <c r="AG47" s="1"/>
      <c r="AH47" s="1"/>
      <c r="AI47" s="1"/>
      <c r="AJ47" s="1"/>
      <c r="AK47" s="1"/>
      <c r="AL47" s="1"/>
      <c r="AM47" s="11"/>
      <c r="AN47" s="13"/>
      <c r="AO47" s="41"/>
      <c r="AP47" s="1"/>
      <c r="AQ47" s="1"/>
    </row>
    <row r="48" ht="15.75" customHeight="1">
      <c r="B48" s="1"/>
      <c r="H48" s="1"/>
      <c r="I48" s="1"/>
      <c r="J48" s="1"/>
      <c r="K48" s="1"/>
      <c r="L48" s="1"/>
      <c r="M48" s="14"/>
      <c r="P48" s="15"/>
      <c r="Q48" s="14"/>
      <c r="R48" s="15"/>
      <c r="S48" s="1"/>
      <c r="T48" s="1"/>
      <c r="U48" s="1"/>
      <c r="V48" s="1"/>
      <c r="W48" s="1"/>
      <c r="X48" s="1"/>
      <c r="Y48" s="1"/>
      <c r="Z48" s="1"/>
      <c r="AA48" s="135" t="s">
        <v>127</v>
      </c>
      <c r="AB48" s="7"/>
      <c r="AC48" s="110" t="s">
        <v>93</v>
      </c>
      <c r="AD48" s="7"/>
      <c r="AE48" s="105">
        <f>(AE50*100)/D12</f>
        <v>55.00956444</v>
      </c>
      <c r="AF48" s="7"/>
      <c r="AG48" s="1"/>
      <c r="AH48" s="1"/>
      <c r="AI48" s="1"/>
      <c r="AJ48" s="1"/>
      <c r="AK48" s="1"/>
      <c r="AL48" s="1"/>
      <c r="AM48" s="130" t="s">
        <v>128</v>
      </c>
      <c r="AN48" s="7"/>
      <c r="AO48" s="131">
        <f>(2*AN38)-(AN41+AN35)</f>
        <v>-4.338609485</v>
      </c>
      <c r="AP48" s="1"/>
      <c r="AQ48" s="1"/>
    </row>
    <row r="49" ht="15.75" customHeight="1">
      <c r="B49" s="1"/>
      <c r="C49" s="136"/>
      <c r="E49" s="136"/>
      <c r="G49" s="137"/>
      <c r="H49" s="1"/>
      <c r="I49" s="1"/>
      <c r="J49" s="1"/>
      <c r="K49" s="1"/>
      <c r="L49" s="1"/>
      <c r="M49" s="11"/>
      <c r="N49" s="12"/>
      <c r="O49" s="12"/>
      <c r="P49" s="13"/>
      <c r="Q49" s="11"/>
      <c r="R49" s="13"/>
      <c r="S49" s="1"/>
      <c r="T49" s="1"/>
      <c r="U49" s="1"/>
      <c r="V49" s="1"/>
      <c r="W49" s="1"/>
      <c r="X49" s="1"/>
      <c r="Y49" s="1"/>
      <c r="Z49" s="1"/>
      <c r="AA49" s="14"/>
      <c r="AB49" s="15"/>
      <c r="AC49" s="11"/>
      <c r="AD49" s="13"/>
      <c r="AE49" s="11"/>
      <c r="AF49" s="13"/>
      <c r="AG49" s="1"/>
      <c r="AH49" s="1"/>
      <c r="AI49" s="1"/>
      <c r="AJ49" s="1"/>
      <c r="AK49" s="1"/>
      <c r="AL49" s="1"/>
      <c r="AM49" s="11"/>
      <c r="AN49" s="13"/>
      <c r="AO49" s="41"/>
      <c r="AP49" s="1"/>
      <c r="AQ49" s="1"/>
    </row>
    <row r="50" ht="15.75" customHeight="1">
      <c r="B50" s="1"/>
      <c r="H50" s="1"/>
      <c r="I50" s="1"/>
      <c r="J50" s="1"/>
      <c r="K50" s="1"/>
      <c r="L50" s="1"/>
      <c r="M50" s="138" t="s">
        <v>129</v>
      </c>
      <c r="N50" s="6"/>
      <c r="O50" s="6"/>
      <c r="P50" s="7"/>
      <c r="Q50" s="139">
        <f>LOG(Q47,10)</f>
        <v>0.903089987</v>
      </c>
      <c r="R50" s="7"/>
      <c r="S50" s="1"/>
      <c r="T50" s="1"/>
      <c r="U50" s="1"/>
      <c r="V50" s="1"/>
      <c r="W50" s="1"/>
      <c r="X50" s="1"/>
      <c r="Y50" s="1"/>
      <c r="Z50" s="1"/>
      <c r="AA50" s="14"/>
      <c r="AB50" s="15"/>
      <c r="AC50" s="110" t="s">
        <v>108</v>
      </c>
      <c r="AD50" s="7"/>
      <c r="AE50" s="111">
        <f>D12-(AE38+AE42+AE46)</f>
        <v>39.6068864</v>
      </c>
      <c r="AF50" s="7"/>
      <c r="AG50" s="1"/>
      <c r="AH50" s="1"/>
      <c r="AI50" s="1"/>
      <c r="AJ50" s="1"/>
      <c r="AK50" s="1"/>
      <c r="AL50" s="1"/>
      <c r="AM50" s="10"/>
      <c r="AN50" s="3"/>
      <c r="AO50" s="4"/>
      <c r="AP50" s="1"/>
      <c r="AQ50" s="1"/>
    </row>
    <row r="51" ht="15.75" customHeight="1">
      <c r="B51" s="1"/>
      <c r="C51" s="140"/>
      <c r="H51" s="1"/>
      <c r="I51" s="1"/>
      <c r="J51" s="1"/>
      <c r="K51" s="1"/>
      <c r="L51" s="1"/>
      <c r="M51" s="14"/>
      <c r="P51" s="15"/>
      <c r="Q51" s="14"/>
      <c r="R51" s="15"/>
      <c r="S51" s="1"/>
      <c r="T51" s="1"/>
      <c r="U51" s="1"/>
      <c r="V51" s="1"/>
      <c r="W51" s="1"/>
      <c r="X51" s="1"/>
      <c r="Y51" s="1"/>
      <c r="Z51" s="1"/>
      <c r="AA51" s="11"/>
      <c r="AB51" s="13"/>
      <c r="AC51" s="11"/>
      <c r="AD51" s="13"/>
      <c r="AE51" s="11"/>
      <c r="AF51" s="13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5.75" customHeight="1">
      <c r="B52" s="1"/>
      <c r="C52" s="141"/>
      <c r="E52" s="142"/>
      <c r="G52" s="136"/>
      <c r="H52" s="1"/>
      <c r="I52" s="1"/>
      <c r="J52" s="1"/>
      <c r="K52" s="1"/>
      <c r="L52" s="1"/>
      <c r="M52" s="11"/>
      <c r="N52" s="12"/>
      <c r="O52" s="12"/>
      <c r="P52" s="13"/>
      <c r="Q52" s="11"/>
      <c r="R52" s="13"/>
      <c r="S52" s="1"/>
      <c r="T52" s="1"/>
      <c r="U52" s="1"/>
      <c r="V52" s="1"/>
      <c r="W52" s="1"/>
      <c r="X52" s="1"/>
      <c r="Y52" s="1"/>
      <c r="Z52" s="1"/>
      <c r="AA52" s="10"/>
      <c r="AB52" s="3"/>
      <c r="AC52" s="3"/>
      <c r="AD52" s="3"/>
      <c r="AE52" s="3"/>
      <c r="AF52" s="4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5.75" customHeight="1">
      <c r="B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43" t="s">
        <v>130</v>
      </c>
      <c r="AB53" s="7"/>
      <c r="AC53" s="110" t="s">
        <v>93</v>
      </c>
      <c r="AD53" s="7"/>
      <c r="AE53" s="110" t="s">
        <v>108</v>
      </c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5.75" customHeight="1">
      <c r="B54" s="1"/>
      <c r="C54" s="141"/>
      <c r="E54" s="142"/>
      <c r="G54" s="13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4"/>
      <c r="AB54" s="15"/>
      <c r="AC54" s="11"/>
      <c r="AD54" s="13"/>
      <c r="AE54" s="11"/>
      <c r="AF54" s="13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5.75" customHeight="1">
      <c r="B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4"/>
      <c r="AB55" s="15"/>
      <c r="AC55" s="144">
        <f>AE36+AE40+AE44+AE48</f>
        <v>100</v>
      </c>
      <c r="AD55" s="7"/>
      <c r="AE55" s="145">
        <f>AE38+AE42+AE46+AE50</f>
        <v>72</v>
      </c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5.75" customHeight="1">
      <c r="B56" s="1"/>
      <c r="C56" s="141"/>
      <c r="E56" s="140"/>
      <c r="G56" s="13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1"/>
      <c r="AB56" s="13"/>
      <c r="AC56" s="11"/>
      <c r="AD56" s="13"/>
      <c r="AE56" s="11"/>
      <c r="AF56" s="13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5.75" customHeight="1">
      <c r="B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5.75" customHeight="1">
      <c r="B58" s="1"/>
      <c r="C58" s="141"/>
      <c r="E58" s="146"/>
      <c r="G58" s="13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5.75" customHeight="1">
      <c r="B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5.75" customHeight="1">
      <c r="B60" s="1"/>
      <c r="C60" s="141"/>
      <c r="E60" s="140"/>
      <c r="G60" s="14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5.75" customHeight="1">
      <c r="B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5.75" customHeight="1">
      <c r="B62" s="1"/>
      <c r="C62" s="148"/>
      <c r="E62" s="1"/>
      <c r="G62" s="6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5.75" customHeight="1">
      <c r="B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5.75" customHeight="1">
      <c r="B64" s="1"/>
      <c r="C64" s="148"/>
      <c r="E64" s="1"/>
      <c r="G64" s="6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5.75" customHeight="1">
      <c r="B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4">
    <mergeCell ref="AC46:AD47"/>
    <mergeCell ref="AE46:AF47"/>
    <mergeCell ref="E40:G41"/>
    <mergeCell ref="E42:G43"/>
    <mergeCell ref="E44:G45"/>
    <mergeCell ref="AA44:AB47"/>
    <mergeCell ref="AC44:AD45"/>
    <mergeCell ref="AE44:AF45"/>
    <mergeCell ref="C46:G46"/>
    <mergeCell ref="C2:G2"/>
    <mergeCell ref="M2:V3"/>
    <mergeCell ref="C3:G3"/>
    <mergeCell ref="D4:G4"/>
    <mergeCell ref="M4:P4"/>
    <mergeCell ref="S4:V4"/>
    <mergeCell ref="D5:G5"/>
    <mergeCell ref="AA2:AF3"/>
    <mergeCell ref="AA4:AF4"/>
    <mergeCell ref="AA5:AC6"/>
    <mergeCell ref="AD5:AF6"/>
    <mergeCell ref="AA7:AC8"/>
    <mergeCell ref="AD7:AF8"/>
    <mergeCell ref="AD9:AF10"/>
    <mergeCell ref="C23:E25"/>
    <mergeCell ref="F23:G25"/>
    <mergeCell ref="N23:P23"/>
    <mergeCell ref="C26:G26"/>
    <mergeCell ref="C27:C28"/>
    <mergeCell ref="D27:G28"/>
    <mergeCell ref="C29:C30"/>
    <mergeCell ref="D29:G30"/>
    <mergeCell ref="N30:P30"/>
    <mergeCell ref="E31:G32"/>
    <mergeCell ref="M31:R32"/>
    <mergeCell ref="E33:G33"/>
    <mergeCell ref="M33:R34"/>
    <mergeCell ref="M35:R35"/>
    <mergeCell ref="E34:G35"/>
    <mergeCell ref="E36:G37"/>
    <mergeCell ref="M36:M38"/>
    <mergeCell ref="N36:O38"/>
    <mergeCell ref="P36:R38"/>
    <mergeCell ref="E38:G39"/>
    <mergeCell ref="M39:M41"/>
    <mergeCell ref="M50:P52"/>
    <mergeCell ref="Q50:R52"/>
    <mergeCell ref="AA52:AF52"/>
    <mergeCell ref="AA53:AB56"/>
    <mergeCell ref="AC53:AD54"/>
    <mergeCell ref="AE53:AF54"/>
    <mergeCell ref="AC55:AD56"/>
    <mergeCell ref="AE55:AF56"/>
    <mergeCell ref="C31:C45"/>
    <mergeCell ref="D31:D32"/>
    <mergeCell ref="D34:D35"/>
    <mergeCell ref="D36:D37"/>
    <mergeCell ref="D38:D39"/>
    <mergeCell ref="D40:D41"/>
    <mergeCell ref="D42:D43"/>
    <mergeCell ref="AA9:AC10"/>
    <mergeCell ref="AA11:AC12"/>
    <mergeCell ref="AA13:AC14"/>
    <mergeCell ref="AA15:AC16"/>
    <mergeCell ref="AA17:AC18"/>
    <mergeCell ref="AA19:AC20"/>
    <mergeCell ref="AA21:AC22"/>
    <mergeCell ref="AA24:AB30"/>
    <mergeCell ref="AD11:AF12"/>
    <mergeCell ref="AD13:AF14"/>
    <mergeCell ref="AD15:AF16"/>
    <mergeCell ref="AD17:AF18"/>
    <mergeCell ref="AD19:AF20"/>
    <mergeCell ref="AD21:AF22"/>
    <mergeCell ref="AA23:AF23"/>
    <mergeCell ref="AC28:AD28"/>
    <mergeCell ref="AE28:AF28"/>
    <mergeCell ref="AC29:AE30"/>
    <mergeCell ref="AF29:AF30"/>
    <mergeCell ref="AC25:AD25"/>
    <mergeCell ref="AE25:AF25"/>
    <mergeCell ref="AC26:AD26"/>
    <mergeCell ref="AE26:AF26"/>
    <mergeCell ref="AM26:AM32"/>
    <mergeCell ref="AC27:AD27"/>
    <mergeCell ref="AE27:AF27"/>
    <mergeCell ref="C6:G6"/>
    <mergeCell ref="D7:G7"/>
    <mergeCell ref="D8:G8"/>
    <mergeCell ref="D9:G9"/>
    <mergeCell ref="D10:G10"/>
    <mergeCell ref="D11:F11"/>
    <mergeCell ref="D12:G12"/>
    <mergeCell ref="C13:G13"/>
    <mergeCell ref="C14:E16"/>
    <mergeCell ref="F14:G16"/>
    <mergeCell ref="C17:E19"/>
    <mergeCell ref="F17:G19"/>
    <mergeCell ref="C20:E22"/>
    <mergeCell ref="F20:G22"/>
    <mergeCell ref="AA31:AC33"/>
    <mergeCell ref="AA36:AB39"/>
    <mergeCell ref="AC36:AD37"/>
    <mergeCell ref="AE36:AF37"/>
    <mergeCell ref="AC38:AD39"/>
    <mergeCell ref="AE38:AF39"/>
    <mergeCell ref="AC24:AD24"/>
    <mergeCell ref="AE24:AF24"/>
    <mergeCell ref="AD31:AF33"/>
    <mergeCell ref="AM33:AO34"/>
    <mergeCell ref="AA34:AF35"/>
    <mergeCell ref="AM35:AM37"/>
    <mergeCell ref="AN35:AO37"/>
    <mergeCell ref="AM38:AM40"/>
    <mergeCell ref="AM41:AM43"/>
    <mergeCell ref="AM45:AO45"/>
    <mergeCell ref="AM46:AN47"/>
    <mergeCell ref="AO46:AO47"/>
    <mergeCell ref="AM48:AN49"/>
    <mergeCell ref="AO48:AO49"/>
    <mergeCell ref="AM50:AO50"/>
    <mergeCell ref="AO2:AQ4"/>
    <mergeCell ref="AO5:AQ5"/>
    <mergeCell ref="AO6:AO8"/>
    <mergeCell ref="AO9:AQ9"/>
    <mergeCell ref="AO10:AO13"/>
    <mergeCell ref="AO14:AQ14"/>
    <mergeCell ref="AN38:AO40"/>
    <mergeCell ref="AN41:AO43"/>
    <mergeCell ref="M42:M44"/>
    <mergeCell ref="N42:O44"/>
    <mergeCell ref="P42:R44"/>
    <mergeCell ref="AC42:AD43"/>
    <mergeCell ref="AE42:AF43"/>
    <mergeCell ref="N39:O41"/>
    <mergeCell ref="P39:R41"/>
    <mergeCell ref="AA40:AB43"/>
    <mergeCell ref="AC40:AD41"/>
    <mergeCell ref="AE40:AF41"/>
    <mergeCell ref="AG40:AH43"/>
    <mergeCell ref="AI40:AI43"/>
    <mergeCell ref="E49:F50"/>
    <mergeCell ref="G49:G50"/>
    <mergeCell ref="AC50:AD51"/>
    <mergeCell ref="AE50:AF51"/>
    <mergeCell ref="C47:G48"/>
    <mergeCell ref="M47:P49"/>
    <mergeCell ref="Q47:R49"/>
    <mergeCell ref="AA48:AB51"/>
    <mergeCell ref="AC48:AD49"/>
    <mergeCell ref="AE48:AF49"/>
    <mergeCell ref="C49:D50"/>
    <mergeCell ref="C51:G51"/>
    <mergeCell ref="D44:D45"/>
    <mergeCell ref="C52:D53"/>
    <mergeCell ref="E52:F53"/>
    <mergeCell ref="G52:G53"/>
    <mergeCell ref="C54:D55"/>
    <mergeCell ref="E54:F55"/>
    <mergeCell ref="G54:G55"/>
    <mergeCell ref="E60:F61"/>
    <mergeCell ref="G60:G61"/>
    <mergeCell ref="C62:D63"/>
    <mergeCell ref="E62:F63"/>
    <mergeCell ref="G62:G63"/>
    <mergeCell ref="C64:D65"/>
    <mergeCell ref="E64:F65"/>
    <mergeCell ref="G64:G65"/>
    <mergeCell ref="C56:D57"/>
    <mergeCell ref="E56:F57"/>
    <mergeCell ref="G56:G57"/>
    <mergeCell ref="C58:D59"/>
    <mergeCell ref="E58:F59"/>
    <mergeCell ref="G58:G59"/>
    <mergeCell ref="C60:D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5"/>
    <col customWidth="1" min="3" max="6" width="12.63"/>
    <col customWidth="1" min="12" max="12" width="26.5"/>
    <col customWidth="1" min="17" max="17" width="18.75"/>
    <col customWidth="1" min="18" max="18" width="27.13"/>
    <col customWidth="1" min="39" max="39" width="4.25"/>
    <col customWidth="1" min="40" max="40" width="22.63"/>
    <col customWidth="1" min="41" max="41" width="18.13"/>
    <col customWidth="1" min="42" max="42" width="18.75"/>
  </cols>
  <sheetData>
    <row r="1" ht="15.75" customHeight="1"/>
    <row r="2" ht="15.75" customHeight="1">
      <c r="B2" s="2" t="s">
        <v>131</v>
      </c>
      <c r="C2" s="3"/>
      <c r="D2" s="3"/>
      <c r="E2" s="3"/>
      <c r="F2" s="4"/>
      <c r="G2" s="1"/>
      <c r="H2" s="1"/>
      <c r="I2" s="1"/>
      <c r="J2" s="1"/>
      <c r="K2" s="1"/>
      <c r="L2" s="5" t="s">
        <v>1</v>
      </c>
      <c r="M2" s="6"/>
      <c r="N2" s="6"/>
      <c r="O2" s="6"/>
      <c r="P2" s="6"/>
      <c r="Q2" s="6"/>
      <c r="R2" s="6"/>
      <c r="S2" s="6"/>
      <c r="T2" s="6"/>
      <c r="U2" s="7"/>
      <c r="V2" s="1"/>
      <c r="W2" s="1"/>
      <c r="X2" s="1"/>
      <c r="Y2" s="1"/>
      <c r="Z2" s="8" t="s">
        <v>2</v>
      </c>
      <c r="AA2" s="6"/>
      <c r="AB2" s="6"/>
      <c r="AC2" s="6"/>
      <c r="AD2" s="6"/>
      <c r="AE2" s="7"/>
      <c r="AF2" s="1"/>
      <c r="AG2" s="1"/>
      <c r="AH2" s="1"/>
      <c r="AI2" s="1"/>
      <c r="AJ2" s="1"/>
      <c r="AK2" s="1"/>
      <c r="AL2" s="1"/>
      <c r="AM2" s="1"/>
      <c r="AN2" s="9" t="s">
        <v>3</v>
      </c>
      <c r="AO2" s="6"/>
      <c r="AP2" s="7"/>
      <c r="AQ2" s="1"/>
      <c r="AR2" s="1"/>
    </row>
    <row r="3" ht="15.75" customHeight="1">
      <c r="B3" s="10"/>
      <c r="C3" s="3"/>
      <c r="D3" s="3"/>
      <c r="E3" s="3"/>
      <c r="F3" s="4"/>
      <c r="G3" s="1"/>
      <c r="H3" s="1"/>
      <c r="I3" s="1"/>
      <c r="J3" s="1"/>
      <c r="K3" s="1"/>
      <c r="L3" s="11"/>
      <c r="M3" s="12"/>
      <c r="N3" s="12"/>
      <c r="O3" s="12"/>
      <c r="P3" s="12"/>
      <c r="Q3" s="12"/>
      <c r="R3" s="12"/>
      <c r="S3" s="12"/>
      <c r="T3" s="12"/>
      <c r="U3" s="13"/>
      <c r="V3" s="1"/>
      <c r="W3" s="1"/>
      <c r="X3" s="1"/>
      <c r="Y3" s="1"/>
      <c r="Z3" s="11"/>
      <c r="AA3" s="12"/>
      <c r="AB3" s="12"/>
      <c r="AC3" s="12"/>
      <c r="AD3" s="12"/>
      <c r="AE3" s="13"/>
      <c r="AF3" s="1"/>
      <c r="AG3" s="1"/>
      <c r="AH3" s="1"/>
      <c r="AI3" s="1"/>
      <c r="AJ3" s="1"/>
      <c r="AK3" s="1"/>
      <c r="AL3" s="1"/>
      <c r="AM3" s="1"/>
      <c r="AN3" s="14"/>
      <c r="AP3" s="15"/>
      <c r="AQ3" s="1"/>
      <c r="AR3" s="1"/>
    </row>
    <row r="4" ht="15.75" customHeight="1">
      <c r="B4" s="149"/>
      <c r="C4" s="150"/>
      <c r="D4" s="12"/>
      <c r="E4" s="12"/>
      <c r="F4" s="13"/>
      <c r="G4" s="1"/>
      <c r="H4" s="1"/>
      <c r="I4" s="1"/>
      <c r="J4" s="1"/>
      <c r="K4" s="1"/>
      <c r="L4" s="18" t="s">
        <v>4</v>
      </c>
      <c r="M4" s="19"/>
      <c r="N4" s="19"/>
      <c r="O4" s="20"/>
      <c r="P4" s="21"/>
      <c r="Q4" s="21"/>
      <c r="R4" s="18" t="s">
        <v>4</v>
      </c>
      <c r="S4" s="19"/>
      <c r="T4" s="19"/>
      <c r="U4" s="20"/>
      <c r="V4" s="1"/>
      <c r="W4" s="1"/>
      <c r="X4" s="1"/>
      <c r="Y4" s="1"/>
      <c r="Z4" s="10"/>
      <c r="AA4" s="3"/>
      <c r="AB4" s="3"/>
      <c r="AC4" s="3"/>
      <c r="AD4" s="3"/>
      <c r="AE4" s="4"/>
      <c r="AF4" s="1"/>
      <c r="AG4" s="1"/>
      <c r="AH4" s="1"/>
      <c r="AI4" s="1"/>
      <c r="AJ4" s="1"/>
      <c r="AK4" s="1"/>
      <c r="AL4" s="1"/>
      <c r="AM4" s="1"/>
      <c r="AN4" s="11"/>
      <c r="AO4" s="12"/>
      <c r="AP4" s="13"/>
      <c r="AQ4" s="1"/>
      <c r="AR4" s="1"/>
    </row>
    <row r="5" ht="15.75" customHeight="1">
      <c r="B5" s="22" t="s">
        <v>132</v>
      </c>
      <c r="C5" s="43"/>
      <c r="D5" s="3"/>
      <c r="E5" s="3"/>
      <c r="F5" s="4"/>
      <c r="G5" s="1"/>
      <c r="H5" s="1"/>
      <c r="I5" s="1"/>
      <c r="J5" s="1"/>
      <c r="K5" s="1"/>
      <c r="L5" s="24"/>
      <c r="M5" s="25" t="s">
        <v>7</v>
      </c>
      <c r="N5" s="25" t="s">
        <v>8</v>
      </c>
      <c r="O5" s="25" t="s">
        <v>9</v>
      </c>
      <c r="P5" s="21"/>
      <c r="Q5" s="21"/>
      <c r="R5" s="24"/>
      <c r="S5" s="25" t="s">
        <v>7</v>
      </c>
      <c r="T5" s="25" t="s">
        <v>8</v>
      </c>
      <c r="U5" s="25" t="s">
        <v>9</v>
      </c>
      <c r="V5" s="1"/>
      <c r="W5" s="1"/>
      <c r="X5" s="1"/>
      <c r="Y5" s="1"/>
      <c r="Z5" s="26" t="s">
        <v>133</v>
      </c>
      <c r="AA5" s="6"/>
      <c r="AB5" s="7"/>
      <c r="AC5" s="27" t="s">
        <v>11</v>
      </c>
      <c r="AD5" s="6"/>
      <c r="AE5" s="7"/>
      <c r="AF5" s="1"/>
      <c r="AG5" s="1"/>
      <c r="AH5" s="1"/>
      <c r="AI5" s="1"/>
      <c r="AJ5" s="1"/>
      <c r="AK5" s="1"/>
      <c r="AL5" s="1"/>
      <c r="AM5" s="1"/>
      <c r="AN5" s="28"/>
      <c r="AO5" s="3"/>
      <c r="AP5" s="4"/>
      <c r="AQ5" s="1"/>
      <c r="AR5" s="1"/>
    </row>
    <row r="6" ht="15.75" customHeight="1">
      <c r="B6" s="10"/>
      <c r="C6" s="3"/>
      <c r="D6" s="3"/>
      <c r="E6" s="3"/>
      <c r="F6" s="4"/>
      <c r="G6" s="1"/>
      <c r="H6" s="1"/>
      <c r="I6" s="1"/>
      <c r="J6" s="1"/>
      <c r="K6" s="1"/>
      <c r="L6" s="29" t="s">
        <v>12</v>
      </c>
      <c r="M6" s="30">
        <v>31.0</v>
      </c>
      <c r="N6" s="32"/>
      <c r="O6" s="31">
        <f t="shared" ref="O6:O13" si="1">(M6+N6)/2</f>
        <v>15.5</v>
      </c>
      <c r="P6" s="21"/>
      <c r="Q6" s="21"/>
      <c r="R6" s="29" t="s">
        <v>12</v>
      </c>
      <c r="S6" s="32"/>
      <c r="T6" s="32"/>
      <c r="U6" s="32">
        <f>(S6+T6)/2</f>
        <v>0</v>
      </c>
      <c r="V6" s="1"/>
      <c r="W6" s="1"/>
      <c r="X6" s="1"/>
      <c r="Y6" s="1"/>
      <c r="Z6" s="11"/>
      <c r="AA6" s="12"/>
      <c r="AB6" s="13"/>
      <c r="AC6" s="11"/>
      <c r="AD6" s="12"/>
      <c r="AE6" s="13"/>
      <c r="AF6" s="1"/>
      <c r="AG6" s="1"/>
      <c r="AH6" s="1"/>
      <c r="AI6" s="1"/>
      <c r="AJ6" s="1"/>
      <c r="AK6" s="1"/>
      <c r="AL6" s="1"/>
      <c r="AM6" s="1"/>
      <c r="AN6" s="33" t="s">
        <v>13</v>
      </c>
      <c r="AO6" s="34" t="s">
        <v>14</v>
      </c>
      <c r="AP6" s="35">
        <f>(O15+O17+O20)*(170.18/C11)</f>
        <v>23.20636364</v>
      </c>
      <c r="AQ6" s="1"/>
      <c r="AR6" s="1"/>
    </row>
    <row r="7" ht="15.75" customHeight="1">
      <c r="B7" s="36" t="s">
        <v>15</v>
      </c>
      <c r="C7" s="151"/>
      <c r="D7" s="3"/>
      <c r="E7" s="3"/>
      <c r="F7" s="4"/>
      <c r="G7" s="1"/>
      <c r="H7" s="1"/>
      <c r="I7" s="1"/>
      <c r="J7" s="1"/>
      <c r="K7" s="1"/>
      <c r="L7" s="29" t="s">
        <v>16</v>
      </c>
      <c r="M7" s="30">
        <v>32.5</v>
      </c>
      <c r="N7" s="32"/>
      <c r="O7" s="31">
        <f t="shared" si="1"/>
        <v>16.25</v>
      </c>
      <c r="P7" s="21"/>
      <c r="Q7" s="21"/>
      <c r="R7" s="152" t="s">
        <v>17</v>
      </c>
      <c r="S7" s="29"/>
      <c r="T7" s="29"/>
      <c r="U7" s="29"/>
      <c r="V7" s="1"/>
      <c r="W7" s="1"/>
      <c r="X7" s="1"/>
      <c r="Y7" s="1"/>
      <c r="Z7" s="26" t="s">
        <v>134</v>
      </c>
      <c r="AA7" s="6"/>
      <c r="AB7" s="7"/>
      <c r="AC7" s="27" t="s">
        <v>19</v>
      </c>
      <c r="AD7" s="6"/>
      <c r="AE7" s="7"/>
      <c r="AF7" s="1"/>
      <c r="AG7" s="1"/>
      <c r="AH7" s="1"/>
      <c r="AI7" s="1"/>
      <c r="AJ7" s="1"/>
      <c r="AK7" s="1"/>
      <c r="AL7" s="1"/>
      <c r="AM7" s="1"/>
      <c r="AN7" s="38"/>
      <c r="AO7" s="34" t="s">
        <v>20</v>
      </c>
      <c r="AP7" s="35">
        <f>AP6*AP6</f>
        <v>538.5353132</v>
      </c>
      <c r="AQ7" s="1"/>
      <c r="AR7" s="1"/>
    </row>
    <row r="8" ht="15.75" customHeight="1">
      <c r="B8" s="39" t="s">
        <v>21</v>
      </c>
      <c r="C8" s="40"/>
      <c r="D8" s="3"/>
      <c r="E8" s="3"/>
      <c r="F8" s="4"/>
      <c r="G8" s="1"/>
      <c r="H8" s="1"/>
      <c r="I8" s="1"/>
      <c r="J8" s="1"/>
      <c r="K8" s="1"/>
      <c r="L8" s="29" t="s">
        <v>23</v>
      </c>
      <c r="M8" s="30">
        <v>14.9</v>
      </c>
      <c r="N8" s="32"/>
      <c r="O8" s="31">
        <f t="shared" si="1"/>
        <v>7.45</v>
      </c>
      <c r="P8" s="21"/>
      <c r="Q8" s="21"/>
      <c r="R8" s="29" t="s">
        <v>24</v>
      </c>
      <c r="S8" s="29"/>
      <c r="T8" s="29"/>
      <c r="U8" s="29"/>
      <c r="V8" s="1"/>
      <c r="W8" s="1"/>
      <c r="X8" s="1"/>
      <c r="Y8" s="1"/>
      <c r="Z8" s="11"/>
      <c r="AA8" s="12"/>
      <c r="AB8" s="13"/>
      <c r="AC8" s="11"/>
      <c r="AD8" s="12"/>
      <c r="AE8" s="13"/>
      <c r="AF8" s="1"/>
      <c r="AG8" s="1"/>
      <c r="AH8" s="1"/>
      <c r="AI8" s="1"/>
      <c r="AJ8" s="1"/>
      <c r="AK8" s="1"/>
      <c r="AL8" s="1"/>
      <c r="AM8" s="1"/>
      <c r="AN8" s="41"/>
      <c r="AO8" s="34" t="s">
        <v>25</v>
      </c>
      <c r="AP8" s="35">
        <f>AP7*AP6</f>
        <v>12497.44631</v>
      </c>
      <c r="AQ8" s="1"/>
      <c r="AR8" s="1"/>
    </row>
    <row r="9" ht="15.75" customHeight="1">
      <c r="B9" s="42" t="s">
        <v>26</v>
      </c>
      <c r="C9" s="43"/>
      <c r="D9" s="3"/>
      <c r="E9" s="3"/>
      <c r="F9" s="4"/>
      <c r="G9" s="1"/>
      <c r="H9" s="1"/>
      <c r="I9" s="1"/>
      <c r="J9" s="1"/>
      <c r="K9" s="1"/>
      <c r="L9" s="29" t="s">
        <v>27</v>
      </c>
      <c r="M9" s="30">
        <v>81.4</v>
      </c>
      <c r="N9" s="32"/>
      <c r="O9" s="31">
        <f t="shared" si="1"/>
        <v>40.7</v>
      </c>
      <c r="P9" s="21"/>
      <c r="Q9" s="21"/>
      <c r="R9" s="153" t="s">
        <v>27</v>
      </c>
      <c r="S9" s="29"/>
      <c r="T9" s="29"/>
      <c r="U9" s="29"/>
      <c r="V9" s="1"/>
      <c r="W9" s="1"/>
      <c r="X9" s="1"/>
      <c r="Y9" s="1"/>
      <c r="Z9" s="26" t="s">
        <v>135</v>
      </c>
      <c r="AA9" s="6"/>
      <c r="AB9" s="7"/>
      <c r="AC9" s="27" t="s">
        <v>29</v>
      </c>
      <c r="AD9" s="6"/>
      <c r="AE9" s="7"/>
      <c r="AF9" s="1"/>
      <c r="AG9" s="1"/>
      <c r="AH9" s="1"/>
      <c r="AI9" s="1"/>
      <c r="AJ9" s="1"/>
      <c r="AK9" s="1"/>
      <c r="AL9" s="1"/>
      <c r="AM9" s="1"/>
      <c r="AN9" s="28"/>
      <c r="AO9" s="3"/>
      <c r="AP9" s="4"/>
      <c r="AQ9" s="1"/>
      <c r="AR9" s="1"/>
    </row>
    <row r="10" ht="15.75" customHeight="1">
      <c r="B10" s="39" t="s">
        <v>30</v>
      </c>
      <c r="C10" s="45">
        <v>54.0</v>
      </c>
      <c r="D10" s="3"/>
      <c r="E10" s="3"/>
      <c r="F10" s="4"/>
      <c r="G10" s="1"/>
      <c r="H10" s="1"/>
      <c r="I10" s="1"/>
      <c r="J10" s="1"/>
      <c r="K10" s="1"/>
      <c r="L10" s="29" t="s">
        <v>31</v>
      </c>
      <c r="M10" s="30">
        <v>93.1</v>
      </c>
      <c r="N10" s="32"/>
      <c r="O10" s="31">
        <f t="shared" si="1"/>
        <v>46.55</v>
      </c>
      <c r="P10" s="21"/>
      <c r="Q10" s="21"/>
      <c r="R10" s="29" t="s">
        <v>32</v>
      </c>
      <c r="S10" s="29"/>
      <c r="T10" s="29"/>
      <c r="U10" s="29"/>
      <c r="V10" s="1"/>
      <c r="W10" s="1"/>
      <c r="X10" s="1"/>
      <c r="Y10" s="1"/>
      <c r="Z10" s="11"/>
      <c r="AA10" s="12"/>
      <c r="AB10" s="13"/>
      <c r="AC10" s="11"/>
      <c r="AD10" s="12"/>
      <c r="AE10" s="13"/>
      <c r="AF10" s="1"/>
      <c r="AG10" s="1"/>
      <c r="AH10" s="1"/>
      <c r="AI10" s="1"/>
      <c r="AJ10" s="1"/>
      <c r="AK10" s="1"/>
      <c r="AL10" s="1"/>
      <c r="AM10" s="1"/>
      <c r="AN10" s="33" t="s">
        <v>33</v>
      </c>
      <c r="AO10" s="46" t="s">
        <v>34</v>
      </c>
      <c r="AP10" s="35">
        <f t="shared" ref="AP10:AP11" si="2">N25</f>
        <v>0.65</v>
      </c>
      <c r="AQ10" s="1"/>
      <c r="AR10" s="1"/>
    </row>
    <row r="11" ht="15.75" customHeight="1">
      <c r="B11" s="39" t="s">
        <v>35</v>
      </c>
      <c r="C11" s="45">
        <v>165.0</v>
      </c>
      <c r="D11" s="3"/>
      <c r="E11" s="4"/>
      <c r="F11" s="154">
        <v>1.68</v>
      </c>
      <c r="G11" s="1"/>
      <c r="H11" s="1"/>
      <c r="I11" s="1"/>
      <c r="J11" s="1"/>
      <c r="K11" s="155"/>
      <c r="L11" s="29" t="s">
        <v>32</v>
      </c>
      <c r="M11" s="30">
        <v>51.9</v>
      </c>
      <c r="N11" s="32"/>
      <c r="O11" s="31">
        <f t="shared" si="1"/>
        <v>25.95</v>
      </c>
      <c r="P11" s="21"/>
      <c r="Q11" s="21"/>
      <c r="R11" s="29" t="s">
        <v>36</v>
      </c>
      <c r="S11" s="29"/>
      <c r="T11" s="29"/>
      <c r="U11" s="29"/>
      <c r="V11" s="1"/>
      <c r="W11" s="1"/>
      <c r="X11" s="1"/>
      <c r="Y11" s="1"/>
      <c r="Z11" s="26" t="s">
        <v>136</v>
      </c>
      <c r="AA11" s="6"/>
      <c r="AB11" s="7"/>
      <c r="AC11" s="27" t="s">
        <v>38</v>
      </c>
      <c r="AD11" s="6"/>
      <c r="AE11" s="7"/>
      <c r="AF11" s="1"/>
      <c r="AG11" s="1"/>
      <c r="AH11" s="1"/>
      <c r="AI11" s="1"/>
      <c r="AJ11" s="1"/>
      <c r="AK11" s="1"/>
      <c r="AL11" s="1"/>
      <c r="AM11" s="1"/>
      <c r="AN11" s="38"/>
      <c r="AO11" s="46" t="s">
        <v>39</v>
      </c>
      <c r="AP11" s="156">
        <f t="shared" si="2"/>
        <v>0.82</v>
      </c>
      <c r="AQ11" s="1"/>
      <c r="AR11" s="1"/>
    </row>
    <row r="12" ht="15.75" customHeight="1">
      <c r="B12" s="39" t="s">
        <v>40</v>
      </c>
      <c r="C12" s="49">
        <v>65.0</v>
      </c>
      <c r="D12" s="3"/>
      <c r="E12" s="3"/>
      <c r="F12" s="4"/>
      <c r="G12" s="1"/>
      <c r="H12" s="1"/>
      <c r="I12" s="1"/>
      <c r="J12" s="1"/>
      <c r="K12" s="1"/>
      <c r="L12" s="29" t="s">
        <v>41</v>
      </c>
      <c r="M12" s="30">
        <v>36.0</v>
      </c>
      <c r="N12" s="32"/>
      <c r="O12" s="31">
        <f t="shared" si="1"/>
        <v>18</v>
      </c>
      <c r="P12" s="21"/>
      <c r="Q12" s="21"/>
      <c r="R12" s="29" t="s">
        <v>42</v>
      </c>
      <c r="S12" s="29"/>
      <c r="T12" s="29"/>
      <c r="U12" s="29"/>
      <c r="V12" s="1"/>
      <c r="W12" s="1"/>
      <c r="X12" s="1"/>
      <c r="Y12" s="1"/>
      <c r="Z12" s="11"/>
      <c r="AA12" s="12"/>
      <c r="AB12" s="13"/>
      <c r="AC12" s="11"/>
      <c r="AD12" s="12"/>
      <c r="AE12" s="13"/>
      <c r="AF12" s="1"/>
      <c r="AG12" s="1"/>
      <c r="AH12" s="1"/>
      <c r="AI12" s="1"/>
      <c r="AJ12" s="1"/>
      <c r="AK12" s="1"/>
      <c r="AL12" s="1"/>
      <c r="AM12" s="1"/>
      <c r="AN12" s="38"/>
      <c r="AO12" s="46" t="s">
        <v>43</v>
      </c>
      <c r="AP12" s="50">
        <f>O7-P15</f>
        <v>15.5</v>
      </c>
      <c r="AQ12" s="1"/>
      <c r="AR12" s="1"/>
    </row>
    <row r="13" ht="15.75" customHeight="1">
      <c r="B13" s="10"/>
      <c r="C13" s="3"/>
      <c r="D13" s="3"/>
      <c r="E13" s="3"/>
      <c r="F13" s="4"/>
      <c r="G13" s="1"/>
      <c r="H13" s="1"/>
      <c r="I13" s="1"/>
      <c r="J13" s="1"/>
      <c r="K13" s="1"/>
      <c r="L13" s="29" t="s">
        <v>42</v>
      </c>
      <c r="M13" s="30">
        <v>36.5</v>
      </c>
      <c r="N13" s="32"/>
      <c r="O13" s="31">
        <f t="shared" si="1"/>
        <v>18.25</v>
      </c>
      <c r="P13" s="21"/>
      <c r="Q13" s="21"/>
      <c r="R13" s="51" t="s">
        <v>44</v>
      </c>
      <c r="S13" s="52"/>
      <c r="T13" s="52"/>
      <c r="U13" s="52"/>
      <c r="V13" s="1"/>
      <c r="W13" s="1"/>
      <c r="X13" s="1"/>
      <c r="Y13" s="1"/>
      <c r="Z13" s="26" t="s">
        <v>137</v>
      </c>
      <c r="AA13" s="6"/>
      <c r="AB13" s="7"/>
      <c r="AC13" s="27" t="s">
        <v>46</v>
      </c>
      <c r="AD13" s="6"/>
      <c r="AE13" s="7"/>
      <c r="AF13" s="1"/>
      <c r="AG13" s="1"/>
      <c r="AH13" s="1"/>
      <c r="AI13" s="1"/>
      <c r="AJ13" s="1"/>
      <c r="AK13" s="1"/>
      <c r="AL13" s="1"/>
      <c r="AM13" s="1"/>
      <c r="AN13" s="41"/>
      <c r="AO13" s="46" t="s">
        <v>47</v>
      </c>
      <c r="AP13" s="50">
        <f>O13-P22</f>
        <v>17.45</v>
      </c>
      <c r="AQ13" s="1"/>
      <c r="AR13" s="1"/>
    </row>
    <row r="14" ht="15.75" customHeight="1">
      <c r="B14" s="53" t="s">
        <v>48</v>
      </c>
      <c r="C14" s="6"/>
      <c r="D14" s="7"/>
      <c r="E14" s="110"/>
      <c r="F14" s="7"/>
      <c r="G14" s="1"/>
      <c r="H14" s="1"/>
      <c r="I14" s="1"/>
      <c r="J14" s="1"/>
      <c r="K14" s="1"/>
      <c r="L14" s="51" t="s">
        <v>44</v>
      </c>
      <c r="M14" s="52"/>
      <c r="N14" s="52"/>
      <c r="O14" s="55"/>
      <c r="P14" s="157" t="s">
        <v>49</v>
      </c>
      <c r="Q14" s="1"/>
      <c r="R14" s="29" t="s">
        <v>50</v>
      </c>
      <c r="S14" s="57"/>
      <c r="T14" s="57"/>
      <c r="U14" s="57">
        <f>(S14+T14)/2</f>
        <v>0</v>
      </c>
      <c r="V14" s="1"/>
      <c r="W14" s="1"/>
      <c r="X14" s="1"/>
      <c r="Y14" s="1"/>
      <c r="Z14" s="11"/>
      <c r="AA14" s="12"/>
      <c r="AB14" s="13"/>
      <c r="AC14" s="11"/>
      <c r="AD14" s="12"/>
      <c r="AE14" s="13"/>
      <c r="AF14" s="1"/>
      <c r="AG14" s="1"/>
      <c r="AH14" s="1"/>
      <c r="AI14" s="1"/>
      <c r="AJ14" s="1"/>
      <c r="AK14" s="1"/>
      <c r="AL14" s="1"/>
      <c r="AM14" s="1"/>
      <c r="AN14" s="28"/>
      <c r="AO14" s="3"/>
      <c r="AP14" s="4"/>
      <c r="AQ14" s="1"/>
      <c r="AR14" s="1"/>
    </row>
    <row r="15" ht="15.75" customHeight="1">
      <c r="B15" s="14"/>
      <c r="D15" s="15"/>
      <c r="E15" s="14"/>
      <c r="F15" s="15"/>
      <c r="G15" s="1"/>
      <c r="H15" s="1"/>
      <c r="I15" s="1"/>
      <c r="J15" s="1"/>
      <c r="K15" s="1"/>
      <c r="L15" s="29" t="s">
        <v>50</v>
      </c>
      <c r="M15" s="58">
        <v>15.0</v>
      </c>
      <c r="N15" s="57"/>
      <c r="O15" s="59">
        <f t="shared" ref="O15:O22" si="3">(M15+N15)/2</f>
        <v>7.5</v>
      </c>
      <c r="P15" s="48">
        <f t="shared" ref="P15:P22" si="4">O15/10</f>
        <v>0.75</v>
      </c>
      <c r="Q15" s="1"/>
      <c r="R15" s="29" t="s">
        <v>51</v>
      </c>
      <c r="S15" s="29"/>
      <c r="T15" s="29"/>
      <c r="U15" s="29"/>
      <c r="V15" s="1"/>
      <c r="W15" s="1"/>
      <c r="X15" s="1"/>
      <c r="Y15" s="1"/>
      <c r="Z15" s="26" t="s">
        <v>57</v>
      </c>
      <c r="AA15" s="6"/>
      <c r="AB15" s="7"/>
      <c r="AC15" s="27" t="s">
        <v>53</v>
      </c>
      <c r="AD15" s="6"/>
      <c r="AE15" s="7"/>
      <c r="AF15" s="1"/>
      <c r="AG15" s="1"/>
      <c r="AH15" s="1"/>
      <c r="AI15" s="1"/>
      <c r="AJ15" s="1"/>
      <c r="AK15" s="1"/>
      <c r="AL15" s="1"/>
      <c r="AM15" s="1"/>
      <c r="AN15" s="33" t="s">
        <v>80</v>
      </c>
      <c r="AO15" s="39" t="s">
        <v>81</v>
      </c>
      <c r="AP15" s="47">
        <f>POWER(C12,1/3)</f>
        <v>4.020725759</v>
      </c>
      <c r="AQ15" s="1"/>
      <c r="AR15" s="1"/>
    </row>
    <row r="16" ht="15.75" customHeight="1">
      <c r="B16" s="11"/>
      <c r="C16" s="12"/>
      <c r="D16" s="13"/>
      <c r="E16" s="11"/>
      <c r="F16" s="13"/>
      <c r="G16" s="1"/>
      <c r="H16" s="1"/>
      <c r="I16" s="1"/>
      <c r="J16" s="1"/>
      <c r="K16" s="1"/>
      <c r="L16" s="29" t="s">
        <v>51</v>
      </c>
      <c r="M16" s="58">
        <v>10.0</v>
      </c>
      <c r="N16" s="57"/>
      <c r="O16" s="59">
        <f t="shared" si="3"/>
        <v>5</v>
      </c>
      <c r="P16" s="48">
        <f t="shared" si="4"/>
        <v>0.5</v>
      </c>
      <c r="Q16" s="1"/>
      <c r="R16" s="29" t="s">
        <v>54</v>
      </c>
      <c r="S16" s="29"/>
      <c r="T16" s="29"/>
      <c r="U16" s="29"/>
      <c r="V16" s="1"/>
      <c r="W16" s="1"/>
      <c r="X16" s="1"/>
      <c r="Y16" s="1"/>
      <c r="Z16" s="11"/>
      <c r="AA16" s="12"/>
      <c r="AB16" s="13"/>
      <c r="AC16" s="11"/>
      <c r="AD16" s="12"/>
      <c r="AE16" s="13"/>
      <c r="AF16" s="1"/>
      <c r="AG16" s="1"/>
      <c r="AH16" s="1"/>
      <c r="AI16" s="1"/>
      <c r="AJ16" s="1"/>
      <c r="AK16" s="1"/>
      <c r="AL16" s="1"/>
      <c r="AM16" s="1"/>
      <c r="AN16" s="38"/>
      <c r="AO16" s="39" t="s">
        <v>35</v>
      </c>
      <c r="AP16" s="47">
        <f>C11</f>
        <v>165</v>
      </c>
      <c r="AQ16" s="1"/>
      <c r="AR16" s="1"/>
    </row>
    <row r="17" ht="15.75" customHeight="1">
      <c r="B17" s="53" t="s">
        <v>55</v>
      </c>
      <c r="C17" s="6"/>
      <c r="D17" s="7"/>
      <c r="E17" s="110"/>
      <c r="F17" s="7"/>
      <c r="G17" s="1"/>
      <c r="H17" s="1"/>
      <c r="I17" s="1"/>
      <c r="J17" s="1"/>
      <c r="K17" s="1"/>
      <c r="L17" s="29" t="s">
        <v>54</v>
      </c>
      <c r="M17" s="58">
        <v>15.0</v>
      </c>
      <c r="N17" s="57"/>
      <c r="O17" s="59">
        <f t="shared" si="3"/>
        <v>7.5</v>
      </c>
      <c r="P17" s="48">
        <f t="shared" si="4"/>
        <v>0.75</v>
      </c>
      <c r="Q17" s="1"/>
      <c r="R17" s="29" t="s">
        <v>56</v>
      </c>
      <c r="S17" s="29"/>
      <c r="T17" s="29"/>
      <c r="U17" s="29"/>
      <c r="V17" s="1"/>
      <c r="W17" s="1"/>
      <c r="X17" s="1"/>
      <c r="Y17" s="1"/>
      <c r="Z17" s="26" t="s">
        <v>138</v>
      </c>
      <c r="AA17" s="6"/>
      <c r="AB17" s="7"/>
      <c r="AC17" s="27" t="s">
        <v>58</v>
      </c>
      <c r="AD17" s="6"/>
      <c r="AE17" s="7"/>
      <c r="AF17" s="1"/>
      <c r="AG17" s="1"/>
      <c r="AH17" s="1"/>
      <c r="AI17" s="1"/>
      <c r="AJ17" s="1"/>
      <c r="AK17" s="1"/>
      <c r="AL17" s="1"/>
      <c r="AM17" s="1"/>
      <c r="AN17" s="38"/>
      <c r="AO17" s="77" t="s">
        <v>86</v>
      </c>
      <c r="AP17" s="35">
        <f>AP16/AP15</f>
        <v>41.03736736</v>
      </c>
      <c r="AQ17" s="1"/>
      <c r="AR17" s="1"/>
    </row>
    <row r="18" ht="15.75" customHeight="1">
      <c r="B18" s="14"/>
      <c r="D18" s="15"/>
      <c r="E18" s="14"/>
      <c r="F18" s="15"/>
      <c r="G18" s="1"/>
      <c r="H18" s="1"/>
      <c r="I18" s="1"/>
      <c r="J18" s="1"/>
      <c r="K18" s="1"/>
      <c r="L18" s="29" t="s">
        <v>56</v>
      </c>
      <c r="M18" s="58">
        <v>19.0</v>
      </c>
      <c r="N18" s="57"/>
      <c r="O18" s="59">
        <f t="shared" si="3"/>
        <v>9.5</v>
      </c>
      <c r="P18" s="48">
        <f t="shared" si="4"/>
        <v>0.95</v>
      </c>
      <c r="Q18" s="1"/>
      <c r="R18" s="29" t="s">
        <v>59</v>
      </c>
      <c r="S18" s="29"/>
      <c r="T18" s="29"/>
      <c r="U18" s="29"/>
      <c r="V18" s="1"/>
      <c r="W18" s="1"/>
      <c r="X18" s="1"/>
      <c r="Y18" s="1"/>
      <c r="Z18" s="11"/>
      <c r="AA18" s="12"/>
      <c r="AB18" s="13"/>
      <c r="AC18" s="11"/>
      <c r="AD18" s="12"/>
      <c r="AE18" s="13"/>
      <c r="AF18" s="1"/>
      <c r="AG18" s="1"/>
      <c r="AH18" s="1"/>
      <c r="AI18" s="1"/>
      <c r="AJ18" s="1"/>
      <c r="AK18" s="1"/>
      <c r="AL18" s="1"/>
      <c r="AM18" s="1"/>
      <c r="AN18" s="38"/>
      <c r="AO18" s="85"/>
      <c r="AP18" s="86"/>
      <c r="AQ18" s="1"/>
      <c r="AR18" s="1"/>
    </row>
    <row r="19" ht="15.75" customHeight="1">
      <c r="B19" s="11"/>
      <c r="C19" s="12"/>
      <c r="D19" s="13"/>
      <c r="E19" s="11"/>
      <c r="F19" s="13"/>
      <c r="G19" s="1"/>
      <c r="H19" s="1"/>
      <c r="I19" s="1"/>
      <c r="J19" s="1"/>
      <c r="K19" s="1"/>
      <c r="L19" s="29" t="s">
        <v>59</v>
      </c>
      <c r="M19" s="58">
        <v>15.0</v>
      </c>
      <c r="N19" s="57"/>
      <c r="O19" s="59">
        <f t="shared" si="3"/>
        <v>7.5</v>
      </c>
      <c r="P19" s="48">
        <f t="shared" si="4"/>
        <v>0.75</v>
      </c>
      <c r="Q19" s="1"/>
      <c r="R19" s="29" t="s">
        <v>60</v>
      </c>
      <c r="S19" s="29"/>
      <c r="T19" s="29"/>
      <c r="U19" s="29"/>
      <c r="V19" s="1"/>
      <c r="W19" s="1"/>
      <c r="X19" s="1"/>
      <c r="Y19" s="1"/>
      <c r="Z19" s="26" t="s">
        <v>139</v>
      </c>
      <c r="AA19" s="6"/>
      <c r="AB19" s="7"/>
      <c r="AC19" s="27" t="s">
        <v>62</v>
      </c>
      <c r="AD19" s="6"/>
      <c r="AE19" s="7"/>
      <c r="AF19" s="1"/>
      <c r="AG19" s="1"/>
      <c r="AH19" s="1"/>
      <c r="AI19" s="1"/>
      <c r="AJ19" s="1"/>
      <c r="AK19" s="1"/>
      <c r="AL19" s="1"/>
      <c r="AM19" s="1"/>
      <c r="AN19" s="38"/>
      <c r="AO19" s="36" t="s">
        <v>91</v>
      </c>
      <c r="AP19" s="47">
        <f>(0.732*AP17)-28.58</f>
        <v>1.459352906</v>
      </c>
      <c r="AQ19" s="1"/>
      <c r="AR19" s="1"/>
    </row>
    <row r="20" ht="15.75" customHeight="1">
      <c r="B20" s="53" t="s">
        <v>63</v>
      </c>
      <c r="C20" s="6"/>
      <c r="D20" s="7"/>
      <c r="E20" s="91"/>
      <c r="F20" s="7"/>
      <c r="G20" s="1"/>
      <c r="H20" s="1"/>
      <c r="I20" s="1"/>
      <c r="J20" s="1"/>
      <c r="K20" s="1"/>
      <c r="L20" s="29" t="s">
        <v>60</v>
      </c>
      <c r="M20" s="58">
        <v>15.0</v>
      </c>
      <c r="N20" s="57"/>
      <c r="O20" s="59">
        <f t="shared" si="3"/>
        <v>7.5</v>
      </c>
      <c r="P20" s="48">
        <f t="shared" si="4"/>
        <v>0.75</v>
      </c>
      <c r="Q20" s="1"/>
      <c r="R20" s="29" t="s">
        <v>64</v>
      </c>
      <c r="S20" s="29"/>
      <c r="T20" s="29"/>
      <c r="U20" s="29"/>
      <c r="V20" s="1"/>
      <c r="W20" s="1"/>
      <c r="X20" s="1"/>
      <c r="Y20" s="1"/>
      <c r="Z20" s="11"/>
      <c r="AA20" s="12"/>
      <c r="AB20" s="13"/>
      <c r="AC20" s="11"/>
      <c r="AD20" s="12"/>
      <c r="AE20" s="13"/>
      <c r="AF20" s="1"/>
      <c r="AG20" s="1"/>
      <c r="AH20" s="1"/>
      <c r="AI20" s="1"/>
      <c r="AJ20" s="1"/>
      <c r="AK20" s="1"/>
      <c r="AL20" s="1"/>
      <c r="AM20" s="1"/>
      <c r="AN20" s="38"/>
      <c r="AO20" s="39" t="s">
        <v>96</v>
      </c>
      <c r="AP20" s="47">
        <f>(0.463*AP17)-17.63</f>
        <v>1.370301087</v>
      </c>
      <c r="AQ20" s="1"/>
      <c r="AR20" s="1"/>
    </row>
    <row r="21" ht="15.75" customHeight="1">
      <c r="B21" s="14"/>
      <c r="D21" s="15"/>
      <c r="E21" s="14"/>
      <c r="F21" s="15"/>
      <c r="G21" s="1"/>
      <c r="H21" s="1"/>
      <c r="I21" s="1"/>
      <c r="J21" s="1"/>
      <c r="K21" s="1"/>
      <c r="L21" s="29" t="s">
        <v>64</v>
      </c>
      <c r="M21" s="58">
        <v>22.0</v>
      </c>
      <c r="N21" s="57"/>
      <c r="O21" s="59">
        <f t="shared" si="3"/>
        <v>11</v>
      </c>
      <c r="P21" s="48">
        <f t="shared" si="4"/>
        <v>1.1</v>
      </c>
      <c r="Q21" s="1"/>
      <c r="R21" s="29" t="s">
        <v>65</v>
      </c>
      <c r="S21" s="29"/>
      <c r="T21" s="29"/>
      <c r="U21" s="29"/>
      <c r="V21" s="1"/>
      <c r="W21" s="1"/>
      <c r="X21" s="1"/>
      <c r="Y21" s="1"/>
      <c r="Z21" s="26" t="s">
        <v>140</v>
      </c>
      <c r="AA21" s="6"/>
      <c r="AB21" s="7"/>
      <c r="AC21" s="27" t="s">
        <v>67</v>
      </c>
      <c r="AD21" s="6"/>
      <c r="AE21" s="7"/>
      <c r="AF21" s="1"/>
      <c r="AG21" s="1"/>
      <c r="AH21" s="1"/>
      <c r="AI21" s="1"/>
      <c r="AJ21" s="1"/>
      <c r="AK21" s="1"/>
      <c r="AL21" s="1"/>
      <c r="AM21" s="1"/>
      <c r="AN21" s="41"/>
      <c r="AO21" s="39" t="s">
        <v>97</v>
      </c>
      <c r="AP21" s="50">
        <v>0.1</v>
      </c>
      <c r="AQ21" s="1"/>
      <c r="AR21" s="1"/>
    </row>
    <row r="22" ht="15.75" customHeight="1">
      <c r="B22" s="11"/>
      <c r="C22" s="12"/>
      <c r="D22" s="13"/>
      <c r="E22" s="11"/>
      <c r="F22" s="13"/>
      <c r="G22" s="1"/>
      <c r="H22" s="1"/>
      <c r="I22" s="1"/>
      <c r="J22" s="1"/>
      <c r="K22" s="1"/>
      <c r="L22" s="29" t="s">
        <v>65</v>
      </c>
      <c r="M22" s="61">
        <v>16.0</v>
      </c>
      <c r="N22" s="80"/>
      <c r="O22" s="59">
        <f t="shared" si="3"/>
        <v>8</v>
      </c>
      <c r="P22" s="48">
        <f t="shared" si="4"/>
        <v>0.8</v>
      </c>
      <c r="Q22" s="1"/>
      <c r="R22" s="62" t="s">
        <v>68</v>
      </c>
      <c r="S22" s="52"/>
      <c r="T22" s="52"/>
      <c r="U22" s="52"/>
      <c r="V22" s="1"/>
      <c r="W22" s="1"/>
      <c r="X22" s="1"/>
      <c r="Y22" s="1"/>
      <c r="Z22" s="11"/>
      <c r="AA22" s="12"/>
      <c r="AB22" s="13"/>
      <c r="AC22" s="11"/>
      <c r="AD22" s="12"/>
      <c r="AE22" s="13"/>
      <c r="AF22" s="1"/>
      <c r="AG22" s="1"/>
      <c r="AH22" s="1"/>
      <c r="AI22" s="1"/>
      <c r="AJ22" s="1"/>
      <c r="AK22" s="1"/>
      <c r="AL22" s="1"/>
      <c r="AM22" s="1"/>
      <c r="AN22" s="101" t="s">
        <v>99</v>
      </c>
      <c r="AO22" s="6"/>
      <c r="AP22" s="7"/>
      <c r="AQ22" s="1"/>
      <c r="AR22" s="1"/>
    </row>
    <row r="23" ht="15.75" customHeight="1">
      <c r="B23" s="53" t="s">
        <v>69</v>
      </c>
      <c r="C23" s="6"/>
      <c r="D23" s="7"/>
      <c r="E23" s="110"/>
      <c r="F23" s="7"/>
      <c r="G23" s="1"/>
      <c r="H23" s="1"/>
      <c r="I23" s="1"/>
      <c r="J23" s="1"/>
      <c r="K23" s="1"/>
      <c r="L23" s="63" t="s">
        <v>68</v>
      </c>
      <c r="M23" s="64"/>
      <c r="N23" s="3"/>
      <c r="O23" s="4"/>
      <c r="P23" s="1"/>
      <c r="Q23" s="1"/>
      <c r="R23" s="29" t="s">
        <v>70</v>
      </c>
      <c r="S23" s="29"/>
      <c r="T23" s="29"/>
      <c r="U23" s="29"/>
      <c r="V23" s="1"/>
      <c r="W23" s="65"/>
      <c r="X23" s="1"/>
      <c r="Y23" s="1"/>
      <c r="Z23" s="10"/>
      <c r="AA23" s="3"/>
      <c r="AB23" s="3"/>
      <c r="AC23" s="3"/>
      <c r="AD23" s="3"/>
      <c r="AE23" s="4"/>
      <c r="AF23" s="1"/>
      <c r="AG23" s="1"/>
      <c r="AH23" s="1"/>
      <c r="AI23" s="1"/>
      <c r="AJ23" s="1"/>
      <c r="AK23" s="1"/>
      <c r="AL23" s="1"/>
      <c r="AM23" s="1"/>
      <c r="AN23" s="11"/>
      <c r="AO23" s="12"/>
      <c r="AP23" s="13"/>
      <c r="AQ23" s="1"/>
      <c r="AR23" s="1"/>
    </row>
    <row r="24" ht="15.75" customHeight="1">
      <c r="B24" s="14"/>
      <c r="D24" s="15"/>
      <c r="E24" s="14"/>
      <c r="F24" s="15"/>
      <c r="G24" s="1"/>
      <c r="H24" s="1"/>
      <c r="I24" s="1"/>
      <c r="J24" s="1"/>
      <c r="K24" s="1"/>
      <c r="L24" s="66"/>
      <c r="M24" s="67" t="s">
        <v>71</v>
      </c>
      <c r="N24" s="67" t="s">
        <v>49</v>
      </c>
      <c r="O24" s="67" t="s">
        <v>72</v>
      </c>
      <c r="P24" s="1"/>
      <c r="Q24" s="1"/>
      <c r="R24" s="29" t="s">
        <v>73</v>
      </c>
      <c r="S24" s="29"/>
      <c r="T24" s="29"/>
      <c r="U24" s="29"/>
      <c r="V24" s="1"/>
      <c r="W24" s="1"/>
      <c r="X24" s="1"/>
      <c r="Y24" s="1"/>
      <c r="Z24" s="68" t="s">
        <v>74</v>
      </c>
      <c r="AA24" s="7"/>
      <c r="AB24" s="69" t="s">
        <v>75</v>
      </c>
      <c r="AC24" s="4"/>
      <c r="AD24" s="70">
        <f>1.1549-(0.0678*P50)</f>
        <v>1.057313243</v>
      </c>
      <c r="AE24" s="4"/>
      <c r="AF24" s="1"/>
      <c r="AG24" s="1"/>
      <c r="AH24" s="1"/>
      <c r="AI24" s="1"/>
      <c r="AJ24" s="1"/>
      <c r="AK24" s="1"/>
      <c r="AL24" s="1"/>
      <c r="AM24" s="1"/>
      <c r="AN24" s="104" t="s">
        <v>101</v>
      </c>
      <c r="AO24" s="105">
        <f>-0.7182+(0.1451*AP6)-(0.00068*AP7)+(0.0000014*AP8)</f>
        <v>2.300335775</v>
      </c>
      <c r="AP24" s="7"/>
      <c r="AQ24" s="1"/>
      <c r="AR24" s="1"/>
    </row>
    <row r="25" ht="15.75" customHeight="1">
      <c r="B25" s="11"/>
      <c r="C25" s="12"/>
      <c r="D25" s="13"/>
      <c r="E25" s="11"/>
      <c r="F25" s="13"/>
      <c r="G25" s="1"/>
      <c r="H25" s="1"/>
      <c r="I25" s="1"/>
      <c r="J25" s="1"/>
      <c r="K25" s="1"/>
      <c r="L25" s="71" t="s">
        <v>70</v>
      </c>
      <c r="M25" s="72">
        <v>6.5</v>
      </c>
      <c r="N25" s="158">
        <f t="shared" ref="N25:N26" si="5">M25/10</f>
        <v>0.65</v>
      </c>
      <c r="O25" s="74">
        <f t="shared" ref="O25:O29" si="6">M25/1000</f>
        <v>0.0065</v>
      </c>
      <c r="P25" s="1"/>
      <c r="Q25" s="1"/>
      <c r="R25" s="29" t="s">
        <v>76</v>
      </c>
      <c r="S25" s="29"/>
      <c r="T25" s="29"/>
      <c r="U25" s="29"/>
      <c r="V25" s="1"/>
      <c r="W25" s="1"/>
      <c r="X25" s="1"/>
      <c r="Y25" s="1"/>
      <c r="Z25" s="14"/>
      <c r="AA25" s="15"/>
      <c r="AB25" s="69" t="s">
        <v>77</v>
      </c>
      <c r="AC25" s="4"/>
      <c r="AD25" s="70">
        <f>1.1599-(0.0717*P50)</f>
        <v>1.056699846</v>
      </c>
      <c r="AE25" s="4"/>
      <c r="AF25" s="1"/>
      <c r="AG25" s="1"/>
      <c r="AH25" s="1"/>
      <c r="AI25" s="1"/>
      <c r="AJ25" s="1"/>
      <c r="AK25" s="1"/>
      <c r="AL25" s="1"/>
      <c r="AM25" s="1"/>
      <c r="AN25" s="38"/>
      <c r="AO25" s="14"/>
      <c r="AP25" s="15"/>
      <c r="AQ25" s="1"/>
      <c r="AR25" s="1"/>
    </row>
    <row r="26" ht="15.75" customHeight="1">
      <c r="B26" s="10"/>
      <c r="C26" s="3"/>
      <c r="D26" s="3"/>
      <c r="E26" s="3"/>
      <c r="F26" s="4"/>
      <c r="G26" s="1"/>
      <c r="H26" s="1"/>
      <c r="I26" s="1"/>
      <c r="J26" s="1"/>
      <c r="K26" s="1"/>
      <c r="L26" s="29" t="s">
        <v>73</v>
      </c>
      <c r="M26" s="58">
        <v>8.2</v>
      </c>
      <c r="N26" s="158">
        <f t="shared" si="5"/>
        <v>0.82</v>
      </c>
      <c r="O26" s="74">
        <f t="shared" si="6"/>
        <v>0.0082</v>
      </c>
      <c r="P26" s="1"/>
      <c r="Q26" s="1"/>
      <c r="R26" s="44" t="s">
        <v>78</v>
      </c>
      <c r="S26" s="29"/>
      <c r="T26" s="29"/>
      <c r="U26" s="29"/>
      <c r="V26" s="1"/>
      <c r="W26" s="1"/>
      <c r="X26" s="1"/>
      <c r="Y26" s="1"/>
      <c r="Z26" s="14"/>
      <c r="AA26" s="15"/>
      <c r="AB26" s="69" t="s">
        <v>79</v>
      </c>
      <c r="AC26" s="4"/>
      <c r="AD26" s="70">
        <f>1.1423-(0.0632*P50)</f>
        <v>1.051334174</v>
      </c>
      <c r="AE26" s="4"/>
      <c r="AF26" s="1"/>
      <c r="AG26" s="1"/>
      <c r="AH26" s="1"/>
      <c r="AI26" s="1"/>
      <c r="AJ26" s="1"/>
      <c r="AK26" s="1"/>
      <c r="AL26" s="1"/>
      <c r="AM26" s="1"/>
      <c r="AN26" s="41"/>
      <c r="AO26" s="11"/>
      <c r="AP26" s="13"/>
      <c r="AQ26" s="1"/>
      <c r="AR26" s="1"/>
    </row>
    <row r="27" ht="15.75" customHeight="1">
      <c r="B27" s="75" t="s">
        <v>82</v>
      </c>
      <c r="C27" s="76">
        <f>C12/(F11*F11)</f>
        <v>23.03004535</v>
      </c>
      <c r="D27" s="6"/>
      <c r="E27" s="6"/>
      <c r="F27" s="7"/>
      <c r="G27" s="1"/>
      <c r="H27" s="1"/>
      <c r="I27" s="1"/>
      <c r="J27" s="1"/>
      <c r="K27" s="1"/>
      <c r="L27" s="29" t="s">
        <v>76</v>
      </c>
      <c r="M27" s="58">
        <v>7.6</v>
      </c>
      <c r="N27" s="158">
        <f>M27/100</f>
        <v>0.076</v>
      </c>
      <c r="O27" s="74">
        <f t="shared" si="6"/>
        <v>0.0076</v>
      </c>
      <c r="P27" s="1"/>
      <c r="Q27" s="1"/>
      <c r="R27" s="44" t="s">
        <v>83</v>
      </c>
      <c r="S27" s="29"/>
      <c r="T27" s="29"/>
      <c r="U27" s="29"/>
      <c r="V27" s="1"/>
      <c r="W27" s="1"/>
      <c r="X27" s="1"/>
      <c r="Y27" s="1"/>
      <c r="Z27" s="14"/>
      <c r="AA27" s="15"/>
      <c r="AB27" s="69" t="s">
        <v>84</v>
      </c>
      <c r="AC27" s="4"/>
      <c r="AD27" s="70">
        <f>1.1333-(0.0612*P50)</f>
        <v>1.045212839</v>
      </c>
      <c r="AE27" s="4"/>
      <c r="AF27" s="1"/>
      <c r="AG27" s="1"/>
      <c r="AH27" s="1"/>
      <c r="AI27" s="1"/>
      <c r="AJ27" s="1"/>
      <c r="AK27" s="1"/>
      <c r="AL27" s="1"/>
      <c r="AM27" s="1"/>
      <c r="AN27" s="112" t="s">
        <v>109</v>
      </c>
      <c r="AO27" s="105">
        <f>(0.858*AP10)+(0.601*AP11)+(0.188*AP12)+(0.161*AP13)-(AP16*0.131)+4.5</f>
        <v>-10.34103</v>
      </c>
      <c r="AP27" s="7"/>
      <c r="AQ27" s="1"/>
      <c r="AR27" s="1"/>
    </row>
    <row r="28" ht="15.75" customHeight="1">
      <c r="B28" s="41"/>
      <c r="C28" s="11"/>
      <c r="D28" s="12"/>
      <c r="E28" s="12"/>
      <c r="F28" s="13"/>
      <c r="G28" s="1"/>
      <c r="H28" s="1"/>
      <c r="I28" s="1"/>
      <c r="J28" s="1"/>
      <c r="K28" s="1"/>
      <c r="L28" s="29" t="s">
        <v>78</v>
      </c>
      <c r="M28" s="57"/>
      <c r="N28" s="73">
        <f t="shared" ref="N28:N29" si="7">M28/10</f>
        <v>0</v>
      </c>
      <c r="O28" s="74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4"/>
      <c r="AA28" s="15"/>
      <c r="AB28" s="69" t="s">
        <v>85</v>
      </c>
      <c r="AC28" s="4"/>
      <c r="AD28" s="70">
        <f>1.1339-(0.0645*P50)</f>
        <v>1.041063041</v>
      </c>
      <c r="AE28" s="4"/>
      <c r="AF28" s="1"/>
      <c r="AG28" s="1"/>
      <c r="AH28" s="1"/>
      <c r="AI28" s="1"/>
      <c r="AJ28" s="1"/>
      <c r="AK28" s="1"/>
      <c r="AL28" s="1"/>
      <c r="AM28" s="1"/>
      <c r="AN28" s="38"/>
      <c r="AO28" s="14"/>
      <c r="AP28" s="15"/>
      <c r="AQ28" s="1"/>
      <c r="AR28" s="1"/>
    </row>
    <row r="29" ht="15.75" customHeight="1">
      <c r="B29" s="78" t="s">
        <v>87</v>
      </c>
      <c r="C29" s="53" t="s">
        <v>88</v>
      </c>
      <c r="D29" s="6"/>
      <c r="E29" s="6"/>
      <c r="F29" s="7"/>
      <c r="G29" s="1"/>
      <c r="H29" s="1"/>
      <c r="I29" s="1"/>
      <c r="J29" s="1"/>
      <c r="K29" s="1"/>
      <c r="L29" s="79" t="s">
        <v>83</v>
      </c>
      <c r="M29" s="80"/>
      <c r="N29" s="73">
        <f t="shared" si="7"/>
        <v>0</v>
      </c>
      <c r="O29" s="82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4"/>
      <c r="AA29" s="15"/>
      <c r="AB29" s="83" t="s">
        <v>89</v>
      </c>
      <c r="AC29" s="6"/>
      <c r="AD29" s="7"/>
      <c r="AE29" s="84">
        <f>C10</f>
        <v>54</v>
      </c>
      <c r="AF29" s="1"/>
      <c r="AG29" s="1"/>
      <c r="AH29" s="1"/>
      <c r="AI29" s="1"/>
      <c r="AJ29" s="1"/>
      <c r="AK29" s="1"/>
      <c r="AL29" s="1"/>
      <c r="AM29" s="1"/>
      <c r="AN29" s="41"/>
      <c r="AO29" s="11"/>
      <c r="AP29" s="13"/>
      <c r="AQ29" s="1"/>
      <c r="AR29" s="1"/>
    </row>
    <row r="30" ht="15.75" customHeight="1">
      <c r="B30" s="41"/>
      <c r="C30" s="11"/>
      <c r="D30" s="12"/>
      <c r="E30" s="12"/>
      <c r="F30" s="13"/>
      <c r="G30" s="1"/>
      <c r="H30" s="1"/>
      <c r="I30" s="1"/>
      <c r="J30" s="1"/>
      <c r="K30" s="1"/>
      <c r="L30" s="87" t="s">
        <v>90</v>
      </c>
      <c r="M30" s="88" t="str">
        <f>M28/M29</f>
        <v>#DIV/0!</v>
      </c>
      <c r="N30" s="3"/>
      <c r="O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1"/>
      <c r="AA30" s="13"/>
      <c r="AB30" s="11"/>
      <c r="AC30" s="12"/>
      <c r="AD30" s="13"/>
      <c r="AE30" s="41"/>
      <c r="AF30" s="1"/>
      <c r="AG30" s="1"/>
      <c r="AH30" s="1"/>
      <c r="AI30" s="1"/>
      <c r="AJ30" s="1"/>
      <c r="AK30" s="1"/>
      <c r="AL30" s="1"/>
      <c r="AM30" s="1"/>
      <c r="AN30" s="119" t="s">
        <v>116</v>
      </c>
      <c r="AO30" s="120">
        <v>0.9</v>
      </c>
      <c r="AP30" s="7"/>
      <c r="AQ30" s="155">
        <v>0.0</v>
      </c>
      <c r="AR30" s="1"/>
    </row>
    <row r="31" ht="15.75" customHeight="1">
      <c r="B31" s="89" t="s">
        <v>92</v>
      </c>
      <c r="C31" s="90" t="s">
        <v>93</v>
      </c>
      <c r="D31" s="91" t="s">
        <v>94</v>
      </c>
      <c r="E31" s="6"/>
      <c r="F31" s="7"/>
      <c r="G31" s="1"/>
      <c r="H31" s="1"/>
      <c r="I31" s="1"/>
      <c r="J31" s="1"/>
      <c r="K31" s="1"/>
      <c r="L31" s="92"/>
      <c r="M31" s="93"/>
      <c r="N31" s="93"/>
      <c r="O31" s="93"/>
      <c r="P31" s="93"/>
      <c r="Q31" s="93"/>
      <c r="R31" s="1"/>
      <c r="S31" s="1"/>
      <c r="T31" s="1"/>
      <c r="U31" s="1"/>
      <c r="V31" s="1"/>
      <c r="W31" s="1"/>
      <c r="X31" s="1"/>
      <c r="Y31" s="1"/>
      <c r="Z31" s="94" t="s">
        <v>95</v>
      </c>
      <c r="AA31" s="6"/>
      <c r="AB31" s="6"/>
      <c r="AC31" s="95">
        <v>1.0411</v>
      </c>
      <c r="AD31" s="6"/>
      <c r="AE31" s="7"/>
      <c r="AF31" s="1"/>
      <c r="AG31" s="1"/>
      <c r="AH31" s="1"/>
      <c r="AI31" s="1"/>
      <c r="AJ31" s="1"/>
      <c r="AK31" s="1"/>
      <c r="AL31" s="1"/>
      <c r="AM31" s="1"/>
      <c r="AN31" s="38"/>
      <c r="AO31" s="14"/>
      <c r="AP31" s="15"/>
      <c r="AQ31" s="1"/>
      <c r="AR31" s="1"/>
    </row>
    <row r="32" ht="15.75" customHeight="1">
      <c r="B32" s="38"/>
      <c r="C32" s="13"/>
      <c r="D32" s="11"/>
      <c r="E32" s="12"/>
      <c r="F32" s="13"/>
      <c r="G32" s="1"/>
      <c r="H32" s="1"/>
      <c r="I32" s="1"/>
      <c r="J32" s="1"/>
      <c r="K32" s="1"/>
      <c r="L32" s="96"/>
      <c r="M32" s="12"/>
      <c r="N32" s="12"/>
      <c r="O32" s="12"/>
      <c r="P32" s="12"/>
      <c r="Q32" s="12"/>
      <c r="R32" s="1"/>
      <c r="S32" s="1"/>
      <c r="T32" s="1"/>
      <c r="U32" s="1"/>
      <c r="V32" s="1"/>
      <c r="W32" s="1"/>
      <c r="X32" s="1"/>
      <c r="Y32" s="1"/>
      <c r="Z32" s="97"/>
      <c r="AC32" s="14"/>
      <c r="AE32" s="15"/>
      <c r="AF32" s="1"/>
      <c r="AG32" s="1"/>
      <c r="AH32" s="1"/>
      <c r="AI32" s="1"/>
      <c r="AJ32" s="1"/>
      <c r="AK32" s="1"/>
      <c r="AL32" s="1"/>
      <c r="AM32" s="1"/>
      <c r="AN32" s="41"/>
      <c r="AO32" s="11"/>
      <c r="AP32" s="13"/>
      <c r="AQ32" s="1"/>
      <c r="AR32" s="1"/>
    </row>
    <row r="33" ht="15.75" customHeight="1">
      <c r="B33" s="38"/>
      <c r="C33" s="98"/>
      <c r="D33" s="99"/>
      <c r="E33" s="3"/>
      <c r="F33" s="4"/>
      <c r="G33" s="1"/>
      <c r="H33" s="1"/>
      <c r="I33" s="1"/>
      <c r="J33" s="1"/>
      <c r="K33" s="1"/>
      <c r="L33" s="100" t="s">
        <v>98</v>
      </c>
      <c r="M33" s="6"/>
      <c r="N33" s="6"/>
      <c r="O33" s="6"/>
      <c r="P33" s="6"/>
      <c r="Q33" s="7"/>
      <c r="R33" s="1"/>
      <c r="S33" s="1"/>
      <c r="T33" s="1"/>
      <c r="U33" s="1"/>
      <c r="V33" s="1"/>
      <c r="W33" s="1"/>
      <c r="X33" s="1"/>
      <c r="Y33" s="1"/>
      <c r="Z33" s="97"/>
      <c r="AC33" s="11"/>
      <c r="AD33" s="12"/>
      <c r="AE33" s="13"/>
      <c r="AF33" s="1"/>
      <c r="AG33" s="1"/>
      <c r="AH33" s="1"/>
      <c r="AI33" s="1"/>
      <c r="AJ33" s="1"/>
      <c r="AK33" s="1"/>
      <c r="AL33" s="1"/>
      <c r="AM33" s="1"/>
      <c r="AN33" s="85"/>
      <c r="AO33" s="125"/>
      <c r="AP33" s="86"/>
      <c r="AQ33" s="1"/>
      <c r="AR33" s="1"/>
    </row>
    <row r="34" ht="15.75" customHeight="1">
      <c r="B34" s="38"/>
      <c r="C34" s="102">
        <v>18.2</v>
      </c>
      <c r="D34" s="91" t="s">
        <v>100</v>
      </c>
      <c r="E34" s="6"/>
      <c r="F34" s="7"/>
      <c r="G34" s="1"/>
      <c r="H34" s="1"/>
      <c r="I34" s="1"/>
      <c r="J34" s="1"/>
      <c r="K34" s="1"/>
      <c r="L34" s="11"/>
      <c r="M34" s="12"/>
      <c r="N34" s="12"/>
      <c r="O34" s="12"/>
      <c r="P34" s="12"/>
      <c r="Q34" s="13"/>
      <c r="R34" s="1"/>
      <c r="S34" s="1"/>
      <c r="T34" s="1"/>
      <c r="U34" s="1"/>
      <c r="V34" s="1"/>
      <c r="W34" s="1"/>
      <c r="X34" s="1"/>
      <c r="Y34" s="1"/>
      <c r="Z34" s="92"/>
      <c r="AA34" s="93"/>
      <c r="AB34" s="93"/>
      <c r="AC34" s="93"/>
      <c r="AD34" s="93"/>
      <c r="AE34" s="93"/>
      <c r="AF34" s="1"/>
      <c r="AG34" s="1"/>
      <c r="AH34" s="1"/>
      <c r="AI34" s="1"/>
      <c r="AJ34" s="1"/>
      <c r="AK34" s="1"/>
      <c r="AL34" s="1"/>
      <c r="AM34" s="1"/>
      <c r="AN34" s="127" t="s">
        <v>124</v>
      </c>
      <c r="AO34" s="3"/>
      <c r="AP34" s="4"/>
      <c r="AQ34" s="1"/>
      <c r="AR34" s="1"/>
    </row>
    <row r="35" ht="15.75" customHeight="1">
      <c r="B35" s="38"/>
      <c r="C35" s="13"/>
      <c r="D35" s="11"/>
      <c r="E35" s="12"/>
      <c r="F35" s="13"/>
      <c r="G35" s="1"/>
      <c r="H35" s="1"/>
      <c r="I35" s="1"/>
      <c r="J35" s="1"/>
      <c r="K35" s="1"/>
      <c r="L35" s="103"/>
      <c r="M35" s="3"/>
      <c r="N35" s="3"/>
      <c r="O35" s="3"/>
      <c r="P35" s="3"/>
      <c r="Q35" s="3"/>
      <c r="R35" s="1"/>
      <c r="S35" s="1"/>
      <c r="T35" s="1"/>
      <c r="U35" s="1"/>
      <c r="V35" s="1"/>
      <c r="W35" s="1"/>
      <c r="X35" s="1"/>
      <c r="Y35" s="1"/>
      <c r="Z35" s="97"/>
      <c r="AF35" s="1"/>
      <c r="AG35" s="1"/>
      <c r="AH35" s="1"/>
      <c r="AI35" s="1"/>
      <c r="AJ35" s="1"/>
      <c r="AK35" s="1"/>
      <c r="AL35" s="1"/>
      <c r="AM35" s="1"/>
      <c r="AN35" s="130" t="s">
        <v>125</v>
      </c>
      <c r="AO35" s="7"/>
      <c r="AP35" s="131">
        <f>AO30-AO24</f>
        <v>-1.400335775</v>
      </c>
      <c r="AQ35" s="1"/>
      <c r="AR35" s="1"/>
    </row>
    <row r="36" ht="15.75" customHeight="1">
      <c r="B36" s="38"/>
      <c r="C36" s="102" t="s">
        <v>102</v>
      </c>
      <c r="D36" s="91" t="s">
        <v>88</v>
      </c>
      <c r="E36" s="6"/>
      <c r="F36" s="7"/>
      <c r="G36" s="1"/>
      <c r="H36" s="1"/>
      <c r="I36" s="1"/>
      <c r="J36" s="1"/>
      <c r="K36" s="1"/>
      <c r="L36" s="106" t="s">
        <v>103</v>
      </c>
      <c r="M36" s="159">
        <f>C11/O8</f>
        <v>22.14765101</v>
      </c>
      <c r="N36" s="7"/>
      <c r="O36" s="108" t="s">
        <v>104</v>
      </c>
      <c r="P36" s="6"/>
      <c r="Q36" s="7"/>
      <c r="R36" s="1"/>
      <c r="S36" s="1"/>
      <c r="T36" s="1"/>
      <c r="U36" s="1"/>
      <c r="V36" s="1"/>
      <c r="W36" s="1"/>
      <c r="X36" s="1"/>
      <c r="Y36" s="1"/>
      <c r="Z36" s="109" t="s">
        <v>105</v>
      </c>
      <c r="AA36" s="7"/>
      <c r="AB36" s="110" t="s">
        <v>93</v>
      </c>
      <c r="AC36" s="7"/>
      <c r="AD36" s="160">
        <f>((4.95/AC31)-4.5)*100</f>
        <v>25.45864951</v>
      </c>
      <c r="AE36" s="7"/>
      <c r="AF36" s="1"/>
      <c r="AG36" s="1"/>
      <c r="AH36" s="1"/>
      <c r="AI36" s="1"/>
      <c r="AJ36" s="1"/>
      <c r="AK36" s="1"/>
      <c r="AL36" s="1"/>
      <c r="AM36" s="1"/>
      <c r="AN36" s="11"/>
      <c r="AO36" s="13"/>
      <c r="AP36" s="41"/>
      <c r="AQ36" s="1"/>
      <c r="AR36" s="1"/>
    </row>
    <row r="37" ht="15.75" customHeight="1">
      <c r="B37" s="38"/>
      <c r="C37" s="13"/>
      <c r="D37" s="11"/>
      <c r="E37" s="12"/>
      <c r="F37" s="13"/>
      <c r="G37" s="1"/>
      <c r="H37" s="1"/>
      <c r="I37" s="1"/>
      <c r="J37" s="1"/>
      <c r="K37" s="1"/>
      <c r="L37" s="38"/>
      <c r="M37" s="14"/>
      <c r="N37" s="15"/>
      <c r="O37" s="14"/>
      <c r="Q37" s="15"/>
      <c r="R37" s="1"/>
      <c r="S37" s="1"/>
      <c r="T37" s="1"/>
      <c r="U37" s="1"/>
      <c r="V37" s="1"/>
      <c r="W37" s="1"/>
      <c r="X37" s="1"/>
      <c r="Y37" s="1"/>
      <c r="Z37" s="14"/>
      <c r="AA37" s="15"/>
      <c r="AB37" s="11"/>
      <c r="AC37" s="13"/>
      <c r="AD37" s="11"/>
      <c r="AE37" s="13"/>
      <c r="AF37" s="1"/>
      <c r="AG37" s="1"/>
      <c r="AH37" s="1"/>
      <c r="AI37" s="1"/>
      <c r="AJ37" s="1"/>
      <c r="AK37" s="1"/>
      <c r="AL37" s="1"/>
      <c r="AM37" s="1"/>
      <c r="AN37" s="130" t="s">
        <v>128</v>
      </c>
      <c r="AO37" s="7"/>
      <c r="AP37" s="131">
        <f>(2*AO27)-(AO30+AO24)</f>
        <v>-23.88239578</v>
      </c>
      <c r="AQ37" s="1"/>
      <c r="AR37" s="1"/>
    </row>
    <row r="38" ht="15.75" customHeight="1">
      <c r="B38" s="38"/>
      <c r="C38" s="102" t="s">
        <v>106</v>
      </c>
      <c r="D38" s="91" t="s">
        <v>107</v>
      </c>
      <c r="E38" s="6"/>
      <c r="F38" s="7"/>
      <c r="G38" s="1"/>
      <c r="H38" s="1"/>
      <c r="I38" s="1"/>
      <c r="J38" s="1"/>
      <c r="K38" s="1"/>
      <c r="L38" s="41"/>
      <c r="M38" s="11"/>
      <c r="N38" s="13"/>
      <c r="O38" s="11"/>
      <c r="P38" s="12"/>
      <c r="Q38" s="13"/>
      <c r="R38" s="1"/>
      <c r="S38" s="1"/>
      <c r="T38" s="1"/>
      <c r="U38" s="1"/>
      <c r="V38" s="1"/>
      <c r="W38" s="1"/>
      <c r="X38" s="1"/>
      <c r="Y38" s="1"/>
      <c r="Z38" s="14"/>
      <c r="AA38" s="15"/>
      <c r="AB38" s="110" t="s">
        <v>108</v>
      </c>
      <c r="AC38" s="7"/>
      <c r="AD38" s="161">
        <f>(AD36*C12)/100</f>
        <v>16.54812218</v>
      </c>
      <c r="AE38" s="7"/>
      <c r="AF38" s="1"/>
      <c r="AG38" s="1"/>
      <c r="AH38" s="1"/>
      <c r="AI38" s="1"/>
      <c r="AJ38" s="1"/>
      <c r="AK38" s="1"/>
      <c r="AL38" s="1"/>
      <c r="AM38" s="1"/>
      <c r="AN38" s="11"/>
      <c r="AO38" s="13"/>
      <c r="AP38" s="41"/>
      <c r="AQ38" s="1"/>
      <c r="AR38" s="1"/>
    </row>
    <row r="39" ht="15.75" customHeight="1">
      <c r="B39" s="38"/>
      <c r="C39" s="13"/>
      <c r="D39" s="11"/>
      <c r="E39" s="12"/>
      <c r="F39" s="13"/>
      <c r="G39" s="1"/>
      <c r="H39" s="1"/>
      <c r="I39" s="1"/>
      <c r="J39" s="1"/>
      <c r="K39" s="1"/>
      <c r="L39" s="113" t="s">
        <v>110</v>
      </c>
      <c r="M39" s="159">
        <f>O9</f>
        <v>40.7</v>
      </c>
      <c r="N39" s="7"/>
      <c r="O39" s="115" t="s">
        <v>111</v>
      </c>
      <c r="P39" s="6"/>
      <c r="Q39" s="7"/>
      <c r="R39" s="1"/>
      <c r="S39" s="1"/>
      <c r="T39" s="1"/>
      <c r="U39" s="1"/>
      <c r="V39" s="1"/>
      <c r="W39" s="1"/>
      <c r="X39" s="1"/>
      <c r="Y39" s="1"/>
      <c r="Z39" s="11"/>
      <c r="AA39" s="13"/>
      <c r="AB39" s="11"/>
      <c r="AC39" s="13"/>
      <c r="AD39" s="11"/>
      <c r="AE39" s="13"/>
      <c r="AF39" s="1"/>
      <c r="AG39" s="1"/>
      <c r="AH39" s="1"/>
      <c r="AI39" s="1"/>
      <c r="AJ39" s="1"/>
      <c r="AK39" s="1"/>
      <c r="AL39" s="1"/>
      <c r="AM39" s="1"/>
      <c r="AN39" s="10"/>
      <c r="AO39" s="3"/>
      <c r="AP39" s="4"/>
      <c r="AQ39" s="1"/>
      <c r="AR39" s="1"/>
    </row>
    <row r="40" ht="15.75" customHeight="1">
      <c r="B40" s="38"/>
      <c r="C40" s="102" t="s">
        <v>112</v>
      </c>
      <c r="D40" s="91" t="s">
        <v>113</v>
      </c>
      <c r="E40" s="6"/>
      <c r="F40" s="7"/>
      <c r="G40" s="1"/>
      <c r="H40" s="1"/>
      <c r="I40" s="1"/>
      <c r="J40" s="1"/>
      <c r="K40" s="1"/>
      <c r="L40" s="38"/>
      <c r="M40" s="14"/>
      <c r="N40" s="15"/>
      <c r="O40" s="14"/>
      <c r="Q40" s="15"/>
      <c r="R40" s="1"/>
      <c r="S40" s="1"/>
      <c r="T40" s="1"/>
      <c r="U40" s="1"/>
      <c r="V40" s="1"/>
      <c r="W40" s="1"/>
      <c r="X40" s="1"/>
      <c r="Y40" s="1"/>
      <c r="Z40" s="116" t="s">
        <v>114</v>
      </c>
      <c r="AA40" s="7"/>
      <c r="AB40" s="110" t="s">
        <v>93</v>
      </c>
      <c r="AC40" s="7"/>
      <c r="AD40" s="160">
        <f>(AD42*100)/C12</f>
        <v>0.7020619854</v>
      </c>
      <c r="AE40" s="7"/>
      <c r="AF40" s="117" t="s">
        <v>115</v>
      </c>
      <c r="AG40" s="7"/>
      <c r="AH40" s="118">
        <f>AD42*4.5</f>
        <v>2.053531307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B41" s="38"/>
      <c r="C41" s="13"/>
      <c r="D41" s="11"/>
      <c r="E41" s="12"/>
      <c r="F41" s="13"/>
      <c r="G41" s="1"/>
      <c r="H41" s="1"/>
      <c r="I41" s="1"/>
      <c r="J41" s="1"/>
      <c r="K41" s="1"/>
      <c r="L41" s="41"/>
      <c r="M41" s="11"/>
      <c r="N41" s="13"/>
      <c r="O41" s="11"/>
      <c r="P41" s="12"/>
      <c r="Q41" s="13"/>
      <c r="R41" s="1"/>
      <c r="S41" s="1"/>
      <c r="T41" s="1"/>
      <c r="U41" s="1"/>
      <c r="V41" s="1"/>
      <c r="W41" s="1"/>
      <c r="X41" s="1"/>
      <c r="Y41" s="1"/>
      <c r="Z41" s="14"/>
      <c r="AA41" s="15"/>
      <c r="AB41" s="11"/>
      <c r="AC41" s="13"/>
      <c r="AD41" s="11"/>
      <c r="AE41" s="13"/>
      <c r="AF41" s="14"/>
      <c r="AG41" s="15"/>
      <c r="AH41" s="38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B42" s="38"/>
      <c r="C42" s="102" t="s">
        <v>117</v>
      </c>
      <c r="D42" s="91" t="s">
        <v>118</v>
      </c>
      <c r="E42" s="6"/>
      <c r="F42" s="7"/>
      <c r="G42" s="1"/>
      <c r="H42" s="1"/>
      <c r="I42" s="1"/>
      <c r="J42" s="1"/>
      <c r="K42" s="1"/>
      <c r="L42" s="121" t="s">
        <v>119</v>
      </c>
      <c r="M42" s="122">
        <f>O9/O10</f>
        <v>0.8743286788</v>
      </c>
      <c r="N42" s="7"/>
      <c r="O42" s="115" t="s">
        <v>120</v>
      </c>
      <c r="P42" s="6"/>
      <c r="Q42" s="7"/>
      <c r="R42" s="1"/>
      <c r="S42" s="1"/>
      <c r="T42" s="1"/>
      <c r="U42" s="1"/>
      <c r="V42" s="1"/>
      <c r="W42" s="1"/>
      <c r="X42" s="1"/>
      <c r="Y42" s="1"/>
      <c r="Z42" s="14"/>
      <c r="AA42" s="15"/>
      <c r="AB42" s="110" t="s">
        <v>108</v>
      </c>
      <c r="AC42" s="7"/>
      <c r="AD42" s="161">
        <f>3.02*((F11*F11)*O27*O26*400)^0.712</f>
        <v>0.4563402905</v>
      </c>
      <c r="AE42" s="7"/>
      <c r="AF42" s="14"/>
      <c r="AG42" s="15"/>
      <c r="AH42" s="38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B43" s="38"/>
      <c r="C43" s="13"/>
      <c r="D43" s="11"/>
      <c r="E43" s="12"/>
      <c r="F43" s="13"/>
      <c r="G43" s="1"/>
      <c r="H43" s="1"/>
      <c r="I43" s="1"/>
      <c r="J43" s="1"/>
      <c r="K43" s="1"/>
      <c r="L43" s="38"/>
      <c r="M43" s="14"/>
      <c r="N43" s="15"/>
      <c r="O43" s="14"/>
      <c r="Q43" s="15"/>
      <c r="R43" s="1"/>
      <c r="S43" s="1"/>
      <c r="T43" s="1"/>
      <c r="U43" s="1"/>
      <c r="V43" s="1"/>
      <c r="W43" s="1"/>
      <c r="X43" s="1"/>
      <c r="Y43" s="1"/>
      <c r="Z43" s="11"/>
      <c r="AA43" s="13"/>
      <c r="AB43" s="11"/>
      <c r="AC43" s="13"/>
      <c r="AD43" s="11"/>
      <c r="AE43" s="13"/>
      <c r="AF43" s="11"/>
      <c r="AG43" s="13"/>
      <c r="AH43" s="4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B44" s="38"/>
      <c r="C44" s="102" t="s">
        <v>121</v>
      </c>
      <c r="D44" s="91" t="s">
        <v>122</v>
      </c>
      <c r="E44" s="6"/>
      <c r="F44" s="7"/>
      <c r="G44" s="1"/>
      <c r="H44" s="1"/>
      <c r="I44" s="1"/>
      <c r="J44" s="1"/>
      <c r="K44" s="1"/>
      <c r="L44" s="41"/>
      <c r="M44" s="11"/>
      <c r="N44" s="13"/>
      <c r="O44" s="11"/>
      <c r="P44" s="12"/>
      <c r="Q44" s="13"/>
      <c r="R44" s="1"/>
      <c r="S44" s="1"/>
      <c r="T44" s="1"/>
      <c r="U44" s="1"/>
      <c r="V44" s="1"/>
      <c r="W44" s="1"/>
      <c r="X44" s="1"/>
      <c r="Y44" s="1"/>
      <c r="Z44" s="123" t="s">
        <v>123</v>
      </c>
      <c r="AA44" s="7"/>
      <c r="AB44" s="110" t="s">
        <v>93</v>
      </c>
      <c r="AC44" s="7"/>
      <c r="AD44" s="160">
        <f>(AD46*100)/C12</f>
        <v>20.9</v>
      </c>
      <c r="AE44" s="7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B45" s="41"/>
      <c r="C45" s="13"/>
      <c r="D45" s="11"/>
      <c r="E45" s="12"/>
      <c r="F45" s="13"/>
      <c r="G45" s="1"/>
      <c r="H45" s="1"/>
      <c r="I45" s="1"/>
      <c r="J45" s="1"/>
      <c r="K45" s="1"/>
      <c r="L45" s="126"/>
      <c r="M45" s="126"/>
      <c r="N45" s="126"/>
      <c r="O45" s="126"/>
      <c r="P45" s="126"/>
      <c r="Q45" s="126"/>
      <c r="R45" s="1"/>
      <c r="S45" s="1"/>
      <c r="T45" s="1"/>
      <c r="U45" s="1"/>
      <c r="V45" s="1"/>
      <c r="W45" s="1"/>
      <c r="X45" s="1"/>
      <c r="Y45" s="1"/>
      <c r="Z45" s="14"/>
      <c r="AA45" s="15"/>
      <c r="AB45" s="11"/>
      <c r="AC45" s="13"/>
      <c r="AD45" s="11"/>
      <c r="AE45" s="13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B46" s="140"/>
      <c r="G46" s="1"/>
      <c r="H46" s="1"/>
      <c r="I46" s="1"/>
      <c r="J46" s="1"/>
      <c r="K46" s="1"/>
      <c r="L46" s="129"/>
      <c r="M46" s="129"/>
      <c r="N46" s="129"/>
      <c r="O46" s="129"/>
      <c r="P46" s="129"/>
      <c r="Q46" s="129"/>
      <c r="R46" s="1"/>
      <c r="S46" s="1"/>
      <c r="T46" s="1"/>
      <c r="U46" s="1"/>
      <c r="V46" s="1"/>
      <c r="W46" s="1"/>
      <c r="X46" s="1"/>
      <c r="Y46" s="1"/>
      <c r="Z46" s="14"/>
      <c r="AA46" s="15"/>
      <c r="AB46" s="110" t="s">
        <v>108</v>
      </c>
      <c r="AC46" s="7"/>
      <c r="AD46" s="161">
        <f>C12*20.9/100</f>
        <v>13.585</v>
      </c>
      <c r="AE46" s="7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B47" s="132"/>
      <c r="G47" s="1"/>
      <c r="H47" s="1"/>
      <c r="I47" s="1"/>
      <c r="J47" s="1"/>
      <c r="K47" s="1"/>
      <c r="L47" s="133" t="s">
        <v>126</v>
      </c>
      <c r="M47" s="6"/>
      <c r="N47" s="6"/>
      <c r="O47" s="7"/>
      <c r="P47" s="134">
        <f>O16+O15+O19+O17</f>
        <v>27.5</v>
      </c>
      <c r="Q47" s="7"/>
      <c r="R47" s="1"/>
      <c r="S47" s="1"/>
      <c r="T47" s="1"/>
      <c r="U47" s="1"/>
      <c r="V47" s="1"/>
      <c r="W47" s="1"/>
      <c r="X47" s="1"/>
      <c r="Y47" s="1"/>
      <c r="Z47" s="11"/>
      <c r="AA47" s="13"/>
      <c r="AB47" s="11"/>
      <c r="AC47" s="13"/>
      <c r="AD47" s="11"/>
      <c r="AE47" s="13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G48" s="1"/>
      <c r="H48" s="1"/>
      <c r="I48" s="1"/>
      <c r="J48" s="1"/>
      <c r="K48" s="1"/>
      <c r="L48" s="14"/>
      <c r="O48" s="15"/>
      <c r="P48" s="14"/>
      <c r="Q48" s="15"/>
      <c r="R48" s="1"/>
      <c r="S48" s="1"/>
      <c r="T48" s="1"/>
      <c r="U48" s="1"/>
      <c r="V48" s="1"/>
      <c r="W48" s="1"/>
      <c r="X48" s="1"/>
      <c r="Y48" s="1"/>
      <c r="Z48" s="135" t="s">
        <v>127</v>
      </c>
      <c r="AA48" s="7"/>
      <c r="AB48" s="110" t="s">
        <v>93</v>
      </c>
      <c r="AC48" s="7"/>
      <c r="AD48" s="160">
        <f>(AD50*100)/C12</f>
        <v>52.93928851</v>
      </c>
      <c r="AE48" s="7"/>
      <c r="AF48" s="162" t="s">
        <v>141</v>
      </c>
      <c r="AG48" s="7"/>
      <c r="AH48" s="163">
        <f>AD48/AD40</f>
        <v>75.40543372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B49" s="136"/>
      <c r="D49" s="136"/>
      <c r="F49" s="137"/>
      <c r="G49" s="1"/>
      <c r="H49" s="1"/>
      <c r="I49" s="1"/>
      <c r="J49" s="1"/>
      <c r="K49" s="1"/>
      <c r="L49" s="11"/>
      <c r="M49" s="12"/>
      <c r="N49" s="12"/>
      <c r="O49" s="13"/>
      <c r="P49" s="11"/>
      <c r="Q49" s="13"/>
      <c r="R49" s="1"/>
      <c r="S49" s="1"/>
      <c r="T49" s="1"/>
      <c r="U49" s="1"/>
      <c r="V49" s="1"/>
      <c r="W49" s="1"/>
      <c r="X49" s="1"/>
      <c r="Y49" s="1"/>
      <c r="Z49" s="14"/>
      <c r="AA49" s="15"/>
      <c r="AB49" s="11"/>
      <c r="AC49" s="13"/>
      <c r="AD49" s="11"/>
      <c r="AE49" s="13"/>
      <c r="AF49" s="11"/>
      <c r="AG49" s="13"/>
      <c r="AH49" s="4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G50" s="1"/>
      <c r="H50" s="1"/>
      <c r="I50" s="1"/>
      <c r="J50" s="1"/>
      <c r="K50" s="1"/>
      <c r="L50" s="138" t="s">
        <v>129</v>
      </c>
      <c r="M50" s="6"/>
      <c r="N50" s="6"/>
      <c r="O50" s="7"/>
      <c r="P50" s="139">
        <f>LOG(P47,10)</f>
        <v>1.439332694</v>
      </c>
      <c r="Q50" s="7"/>
      <c r="R50" s="1"/>
      <c r="S50" s="1"/>
      <c r="T50" s="1"/>
      <c r="U50" s="1"/>
      <c r="V50" s="1"/>
      <c r="W50" s="1"/>
      <c r="X50" s="1"/>
      <c r="Y50" s="1"/>
      <c r="Z50" s="14"/>
      <c r="AA50" s="15"/>
      <c r="AB50" s="110" t="s">
        <v>108</v>
      </c>
      <c r="AC50" s="7"/>
      <c r="AD50" s="161">
        <f>C12-(AD38+AD42+AD46)</f>
        <v>34.41053753</v>
      </c>
      <c r="AE50" s="7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B51" s="140"/>
      <c r="G51" s="1"/>
      <c r="H51" s="1"/>
      <c r="I51" s="1"/>
      <c r="J51" s="1"/>
      <c r="K51" s="1"/>
      <c r="L51" s="14"/>
      <c r="O51" s="15"/>
      <c r="P51" s="14"/>
      <c r="Q51" s="15"/>
      <c r="R51" s="1"/>
      <c r="S51" s="1"/>
      <c r="T51" s="1"/>
      <c r="U51" s="1"/>
      <c r="V51" s="1"/>
      <c r="W51" s="1"/>
      <c r="X51" s="1"/>
      <c r="Y51" s="1"/>
      <c r="Z51" s="11"/>
      <c r="AA51" s="13"/>
      <c r="AB51" s="11"/>
      <c r="AC51" s="13"/>
      <c r="AD51" s="11"/>
      <c r="AE51" s="13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B52" s="141"/>
      <c r="D52" s="142"/>
      <c r="F52" s="136"/>
      <c r="G52" s="1"/>
      <c r="H52" s="1"/>
      <c r="I52" s="1"/>
      <c r="J52" s="1"/>
      <c r="K52" s="1"/>
      <c r="L52" s="11"/>
      <c r="M52" s="12"/>
      <c r="N52" s="12"/>
      <c r="O52" s="13"/>
      <c r="P52" s="11"/>
      <c r="Q52" s="13"/>
      <c r="R52" s="1"/>
      <c r="S52" s="1"/>
      <c r="T52" s="1"/>
      <c r="U52" s="1"/>
      <c r="V52" s="1"/>
      <c r="W52" s="1"/>
      <c r="X52" s="1"/>
      <c r="Y52" s="1"/>
      <c r="Z52" s="10"/>
      <c r="AA52" s="3"/>
      <c r="AB52" s="3"/>
      <c r="AC52" s="3"/>
      <c r="AD52" s="3"/>
      <c r="AE52" s="4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43" t="s">
        <v>130</v>
      </c>
      <c r="AA53" s="7"/>
      <c r="AB53" s="110" t="s">
        <v>93</v>
      </c>
      <c r="AC53" s="7"/>
      <c r="AD53" s="110" t="s">
        <v>108</v>
      </c>
      <c r="AE53" s="7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B54" s="141"/>
      <c r="D54" s="142"/>
      <c r="F54" s="14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4"/>
      <c r="AA54" s="15"/>
      <c r="AB54" s="11"/>
      <c r="AC54" s="13"/>
      <c r="AD54" s="11"/>
      <c r="AE54" s="13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4"/>
      <c r="AA55" s="15"/>
      <c r="AB55" s="164">
        <f>AD36+AD40+AD44+AD48</f>
        <v>100</v>
      </c>
      <c r="AC55" s="7"/>
      <c r="AD55" s="165">
        <f>AD38+AD42+AD46+AD50</f>
        <v>65</v>
      </c>
      <c r="AE55" s="7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B56" s="141"/>
      <c r="D56" s="142"/>
      <c r="F56" s="14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1"/>
      <c r="AA56" s="13"/>
      <c r="AB56" s="11"/>
      <c r="AC56" s="13"/>
      <c r="AD56" s="11"/>
      <c r="AE56" s="13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B58" s="141"/>
      <c r="D58" s="142"/>
      <c r="F58" s="14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7">
    <mergeCell ref="Z9:AB10"/>
    <mergeCell ref="Z11:AB12"/>
    <mergeCell ref="Z13:AB14"/>
    <mergeCell ref="Z15:AB16"/>
    <mergeCell ref="Z17:AB18"/>
    <mergeCell ref="Z19:AB20"/>
    <mergeCell ref="Z21:AB22"/>
    <mergeCell ref="Z24:AA30"/>
    <mergeCell ref="AC11:AE12"/>
    <mergeCell ref="AC13:AE14"/>
    <mergeCell ref="AC15:AE16"/>
    <mergeCell ref="AC17:AE18"/>
    <mergeCell ref="AC19:AE20"/>
    <mergeCell ref="AC21:AE22"/>
    <mergeCell ref="Z23:AE23"/>
    <mergeCell ref="AB28:AC28"/>
    <mergeCell ref="AB29:AD30"/>
    <mergeCell ref="AE29:AE30"/>
    <mergeCell ref="AB25:AC25"/>
    <mergeCell ref="AD25:AE25"/>
    <mergeCell ref="AB26:AC26"/>
    <mergeCell ref="AD26:AE26"/>
    <mergeCell ref="AB27:AC27"/>
    <mergeCell ref="AD27:AE27"/>
    <mergeCell ref="AD28:AE28"/>
    <mergeCell ref="AN15:AN21"/>
    <mergeCell ref="AN24:AN26"/>
    <mergeCell ref="AN27:AN29"/>
    <mergeCell ref="AN30:AN32"/>
    <mergeCell ref="AN2:AP4"/>
    <mergeCell ref="AN5:AP5"/>
    <mergeCell ref="AN6:AN8"/>
    <mergeCell ref="AN9:AP9"/>
    <mergeCell ref="AN10:AN13"/>
    <mergeCell ref="AN14:AP14"/>
    <mergeCell ref="AN22:AP23"/>
    <mergeCell ref="AO30:AP32"/>
    <mergeCell ref="B6:F6"/>
    <mergeCell ref="C7:F7"/>
    <mergeCell ref="C8:F8"/>
    <mergeCell ref="C9:F9"/>
    <mergeCell ref="C10:F10"/>
    <mergeCell ref="C11:E11"/>
    <mergeCell ref="C12:F12"/>
    <mergeCell ref="B13:F13"/>
    <mergeCell ref="B14:D16"/>
    <mergeCell ref="E14:F16"/>
    <mergeCell ref="B17:D19"/>
    <mergeCell ref="E17:F19"/>
    <mergeCell ref="B20:D22"/>
    <mergeCell ref="E20:F22"/>
    <mergeCell ref="AB24:AC24"/>
    <mergeCell ref="AD24:AE24"/>
    <mergeCell ref="Z31:AB33"/>
    <mergeCell ref="AC31:AE33"/>
    <mergeCell ref="Z34:AE35"/>
    <mergeCell ref="Z36:AA39"/>
    <mergeCell ref="AD36:AE37"/>
    <mergeCell ref="AD38:AE39"/>
    <mergeCell ref="AB46:AC47"/>
    <mergeCell ref="AB48:AC49"/>
    <mergeCell ref="Z48:AA51"/>
    <mergeCell ref="AB50:AC51"/>
    <mergeCell ref="AD50:AE51"/>
    <mergeCell ref="Z53:AA56"/>
    <mergeCell ref="AB53:AC54"/>
    <mergeCell ref="AD53:AE54"/>
    <mergeCell ref="AB55:AC56"/>
    <mergeCell ref="AD55:AE56"/>
    <mergeCell ref="AB36:AC37"/>
    <mergeCell ref="AB38:AC39"/>
    <mergeCell ref="Z44:AA47"/>
    <mergeCell ref="AB44:AC45"/>
    <mergeCell ref="AD44:AE45"/>
    <mergeCell ref="AD46:AE47"/>
    <mergeCell ref="AD48:AE49"/>
    <mergeCell ref="C29:F30"/>
    <mergeCell ref="M30:O30"/>
    <mergeCell ref="D31:F32"/>
    <mergeCell ref="L31:Q32"/>
    <mergeCell ref="D33:F33"/>
    <mergeCell ref="L33:Q34"/>
    <mergeCell ref="L35:Q35"/>
    <mergeCell ref="D34:F35"/>
    <mergeCell ref="D36:F37"/>
    <mergeCell ref="L36:L38"/>
    <mergeCell ref="M36:N38"/>
    <mergeCell ref="O36:Q38"/>
    <mergeCell ref="D38:F39"/>
    <mergeCell ref="L39:L41"/>
    <mergeCell ref="AB42:AC43"/>
    <mergeCell ref="AD42:AE43"/>
    <mergeCell ref="M39:N41"/>
    <mergeCell ref="O39:Q41"/>
    <mergeCell ref="Z40:AA43"/>
    <mergeCell ref="AB40:AC41"/>
    <mergeCell ref="AD40:AE41"/>
    <mergeCell ref="AF40:AG43"/>
    <mergeCell ref="AH40:AH43"/>
    <mergeCell ref="D40:F41"/>
    <mergeCell ref="D42:F43"/>
    <mergeCell ref="D44:F45"/>
    <mergeCell ref="B46:F46"/>
    <mergeCell ref="B47:F48"/>
    <mergeCell ref="B49:C50"/>
    <mergeCell ref="F49:F50"/>
    <mergeCell ref="B54:C55"/>
    <mergeCell ref="B56:C57"/>
    <mergeCell ref="D56:E57"/>
    <mergeCell ref="F56:F57"/>
    <mergeCell ref="B58:C59"/>
    <mergeCell ref="D58:E59"/>
    <mergeCell ref="F58:F59"/>
    <mergeCell ref="D49:E50"/>
    <mergeCell ref="B51:F51"/>
    <mergeCell ref="B52:C53"/>
    <mergeCell ref="D52:E53"/>
    <mergeCell ref="F52:F53"/>
    <mergeCell ref="D54:E55"/>
    <mergeCell ref="F54:F55"/>
    <mergeCell ref="B2:F2"/>
    <mergeCell ref="L2:U3"/>
    <mergeCell ref="B3:F3"/>
    <mergeCell ref="C4:F4"/>
    <mergeCell ref="L4:O4"/>
    <mergeCell ref="R4:U4"/>
    <mergeCell ref="C5:F5"/>
    <mergeCell ref="Z2:AE3"/>
    <mergeCell ref="Z4:AE4"/>
    <mergeCell ref="Z5:AB6"/>
    <mergeCell ref="AC5:AE6"/>
    <mergeCell ref="Z7:AB8"/>
    <mergeCell ref="AC7:AE8"/>
    <mergeCell ref="AC9:AE10"/>
    <mergeCell ref="AO24:AP26"/>
    <mergeCell ref="AO27:AP29"/>
    <mergeCell ref="AN34:AP34"/>
    <mergeCell ref="AN35:AO36"/>
    <mergeCell ref="AP35:AP36"/>
    <mergeCell ref="AN37:AO38"/>
    <mergeCell ref="AP37:AP38"/>
    <mergeCell ref="AN39:AP39"/>
    <mergeCell ref="B23:D25"/>
    <mergeCell ref="E23:F25"/>
    <mergeCell ref="M23:O23"/>
    <mergeCell ref="B26:F26"/>
    <mergeCell ref="B27:B28"/>
    <mergeCell ref="C27:F28"/>
    <mergeCell ref="B29:B30"/>
    <mergeCell ref="B31:B45"/>
    <mergeCell ref="C31:C32"/>
    <mergeCell ref="C34:C35"/>
    <mergeCell ref="C36:C37"/>
    <mergeCell ref="C38:C39"/>
    <mergeCell ref="C40:C41"/>
    <mergeCell ref="C42:C43"/>
    <mergeCell ref="C44:C45"/>
    <mergeCell ref="L50:O52"/>
    <mergeCell ref="P50:Q52"/>
    <mergeCell ref="Z52:AE52"/>
    <mergeCell ref="L42:L44"/>
    <mergeCell ref="M42:N44"/>
    <mergeCell ref="O42:Q44"/>
    <mergeCell ref="L47:O49"/>
    <mergeCell ref="P47:Q49"/>
    <mergeCell ref="AF48:AG49"/>
    <mergeCell ref="AH48:AH49"/>
  </mergeCells>
  <drawing r:id="rId1"/>
</worksheet>
</file>